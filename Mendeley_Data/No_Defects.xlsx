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9"/>
  </bookViews>
  <sheets>
    <sheet name="0_1" sheetId="4" r:id="rId1"/>
    <sheet name="0_2" sheetId="5" r:id="rId2"/>
    <sheet name="0_3" sheetId="6" r:id="rId3"/>
    <sheet name="0_4" sheetId="10" r:id="rId4"/>
    <sheet name="0_5" sheetId="1" r:id="rId5"/>
    <sheet name="0_6" sheetId="2" r:id="rId6"/>
    <sheet name="0_7" sheetId="3" r:id="rId7"/>
    <sheet name="0_8" sheetId="7" r:id="rId8"/>
    <sheet name="0_9" sheetId="8" r:id="rId9"/>
    <sheet name="0_10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<sst xmlns="http://schemas.openxmlformats.org/spreadsheetml/2006/main" count="180" uniqueCount="19">
  <si>
    <t>Time</t>
  </si>
  <si>
    <t>Extension</t>
  </si>
  <si>
    <t>Load</t>
  </si>
  <si>
    <t>Tensile strain</t>
  </si>
  <si>
    <t>Stress</t>
  </si>
  <si>
    <t>(sec)</t>
  </si>
  <si>
    <t>(mm)</t>
  </si>
  <si>
    <t>(N)</t>
  </si>
  <si>
    <t>(mm/mm)</t>
  </si>
  <si>
    <t>(Mpa)</t>
  </si>
  <si>
    <t>L</t>
  </si>
  <si>
    <t>mm</t>
  </si>
  <si>
    <t>A</t>
  </si>
  <si>
    <t>mm^2</t>
  </si>
  <si>
    <t>UTS</t>
  </si>
  <si>
    <t>MPa</t>
  </si>
  <si>
    <t>Strain at UTS</t>
  </si>
  <si>
    <t>mm/mm</t>
  </si>
  <si>
    <t>(MPa)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</si>
</sst>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00"/>
  </numFmts>
  <fonts count="20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0" fillId="0" borderId="0" applyNumberFormat="0" applyFill="0" applyBorder="0" applyAlignment="0" applyProtection="0"/>
    <xf numFmtId="0" fontId="11" fillId="3" borderId="5" applyNumberFormat="0" applyAlignment="0" applyProtection="0"/>
    <xf numFmtId="0" fontId="12" fillId="4" borderId="6" applyNumberFormat="0" applyAlignment="0" applyProtection="0"/>
    <xf numFmtId="0" fontId="13" fillId="4" borderId="5" applyNumberFormat="0" applyAlignment="0" applyProtection="0"/>
    <xf numFmtId="0" fontId="14" fillId="5" borderId="7" applyNumberFormat="0" applyAlignment="0" applyProtection="0"/>
    <xf numFmtId="0" fontId="15" fillId="0" borderId="8" applyNumberFormat="0" applyFill="0" applyAlignment="0" applyProtection="0"/>
    <xf numFmtId="0" fontId="1" fillId="0" borderId="9" applyNumberFormat="0" applyFill="0" applyAlignment="0" applyProtection="0"/>
    <xf numFmtId="0" fontId="16" fillId="6" borderId="0" applyNumberFormat="0" applyBorder="0" applyAlignment="0" applyProtection="0"/>
    <xf numFmtId="0" fontId="17" fillId="7" borderId="0" applyNumberFormat="0" applyBorder="0" applyAlignment="0" applyProtection="0"/>
    <xf numFmtId="0" fontId="18" fillId="8" borderId="0" applyNumberFormat="0" applyBorder="0" applyAlignment="0" applyProtection="0"/>
    <xf numFmtId="0" fontId="19" fillId="9" borderId="0" applyNumberFormat="0" applyBorder="0" applyAlignment="0" applyProtection="0"/>
    <xf numFmtId="0" fontId="0" fillId="10" borderId="0" applyNumberFormat="0" applyBorder="0" applyAlignment="0" applyProtection="0"/>
    <xf numFmtId="0" fontId="0" fillId="11" borderId="0" applyNumberFormat="0" applyBorder="0" applyAlignment="0" applyProtection="0"/>
    <xf numFmtId="0" fontId="0" fillId="12" borderId="0" applyNumberFormat="0" applyBorder="0" applyAlignment="0" applyProtection="0"/>
    <xf numFmtId="0" fontId="19" fillId="13" borderId="0" applyNumberFormat="0" applyBorder="0" applyAlignment="0" applyProtection="0"/>
    <xf numFmtId="0" fontId="0" fillId="14" borderId="0" applyNumberFormat="0" applyBorder="0" applyAlignment="0" applyProtection="0"/>
    <xf numFmtId="0" fontId="0" fillId="15" borderId="0" applyNumberFormat="0" applyBorder="0" applyAlignment="0" applyProtection="0"/>
    <xf numFmtId="0" fontId="0" fillId="16" borderId="0" applyNumberFormat="0" applyBorder="0" applyAlignment="0" applyProtection="0"/>
    <xf numFmtId="0" fontId="19" fillId="17" borderId="0" applyNumberFormat="0" applyBorder="0" applyAlignment="0" applyProtection="0"/>
    <xf numFmtId="0" fontId="0" fillId="18" borderId="0" applyNumberFormat="0" applyBorder="0" applyAlignment="0" applyProtection="0"/>
    <xf numFmtId="0" fontId="0" fillId="19" borderId="0" applyNumberFormat="0" applyBorder="0" applyAlignment="0" applyProtection="0"/>
    <xf numFmtId="0" fontId="0" fillId="20" borderId="0" applyNumberFormat="0" applyBorder="0" applyAlignment="0" applyProtection="0"/>
    <xf numFmtId="0" fontId="19" fillId="21" borderId="0" applyNumberFormat="0" applyBorder="0" applyAlignment="0" applyProtection="0"/>
    <xf numFmtId="0" fontId="0" fillId="22" borderId="0" applyNumberFormat="0" applyBorder="0" applyAlignment="0" applyProtection="0"/>
    <xf numFmtId="0" fontId="0" fillId="23" borderId="0" applyNumberFormat="0" applyBorder="0" applyAlignment="0" applyProtection="0"/>
    <xf numFmtId="0" fontId="0" fillId="24" borderId="0" applyNumberFormat="0" applyBorder="0" applyAlignment="0" applyProtection="0"/>
    <xf numFmtId="0" fontId="19" fillId="25" borderId="0" applyNumberFormat="0" applyBorder="0" applyAlignment="0" applyProtection="0"/>
    <xf numFmtId="0" fontId="0" fillId="26" borderId="0" applyNumberFormat="0" applyBorder="0" applyAlignment="0" applyProtection="0"/>
    <xf numFmtId="0" fontId="0" fillId="27" borderId="0" applyNumberFormat="0" applyBorder="0" applyAlignment="0" applyProtection="0"/>
    <xf numFmtId="0" fontId="0" fillId="28" borderId="0" applyNumberFormat="0" applyBorder="0" applyAlignment="0" applyProtection="0"/>
    <xf numFmtId="0" fontId="19" fillId="29" borderId="0" applyNumberFormat="0" applyBorder="0" applyAlignment="0" applyProtection="0"/>
    <xf numFmtId="0" fontId="0" fillId="30" borderId="0" applyNumberFormat="0" applyBorder="0" applyAlignment="0" applyProtection="0"/>
    <xf numFmtId="0" fontId="0" fillId="31" borderId="0" applyNumberFormat="0" applyBorder="0" applyAlignment="0" applyProtection="0"/>
    <xf numFmtId="0" fontId="0" fillId="32" borderId="0" applyNumberFormat="0" applyBorder="0" applyAlignment="0" applyProtection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/>
    <xf numFmtId="2" fontId="1" fillId="0" borderId="0" xfId="0" applyNumberFormat="1" applyFont="1"/>
    <xf numFmtId="176" fontId="1" fillId="0" borderId="0" xfId="0" applyNumberFormat="1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2" fontId="1" fillId="0" borderId="0" xfId="0" applyNumberFormat="1" applyFont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4"/>
  <sheetViews>
    <sheetView workbookViewId="0">
      <selection activeCell="K9" sqref="K9"/>
    </sheetView>
  </sheetViews>
  <sheetFormatPr defaultColWidth="9" defaultRowHeight="14"/>
  <cols>
    <col min="1" max="2" width="8.84166666666667" style="7"/>
    <col min="3" max="3" width="10.5" style="7"/>
    <col min="4" max="4" width="11.3166666666667" style="7" customWidth="1"/>
    <col min="5" max="5" width="6.68333333333333" style="7" customWidth="1"/>
    <col min="6" max="9" width="9" style="8"/>
    <col min="10" max="10" width="20" style="8" customWidth="1"/>
    <col min="11" max="11" width="9" style="8"/>
    <col min="12" max="12" width="11.0833333333333" style="8" customWidth="1"/>
    <col min="13" max="16384" width="9" style="8"/>
  </cols>
  <sheetData>
    <row r="1" spans="1:13">
      <c r="A1" s="7" t="s">
        <v>0</v>
      </c>
      <c r="B1" s="7" t="s">
        <v>1</v>
      </c>
      <c r="C1" s="7" t="s">
        <v>2</v>
      </c>
      <c r="D1" s="9" t="s">
        <v>3</v>
      </c>
      <c r="E1" s="9" t="s">
        <v>4</v>
      </c>
    </row>
    <row r="2" spans="1:13">
      <c r="A2" s="7" t="s">
        <v>5</v>
      </c>
      <c r="B2" s="7" t="s">
        <v>6</v>
      </c>
      <c r="C2" s="7" t="s">
        <v>7</v>
      </c>
      <c r="D2" s="9" t="s">
        <v>8</v>
      </c>
      <c r="E2" s="9" t="s">
        <v>9</v>
      </c>
    </row>
    <row r="3" spans="1:13">
      <c r="A3" s="7">
        <v>20.3</v>
      </c>
      <c r="B3" s="7">
        <v>1.6894</v>
      </c>
      <c r="C3" s="7">
        <v>14.49</v>
      </c>
      <c r="D3" s="9">
        <v>0</v>
      </c>
      <c r="E3" s="9">
        <f t="shared" ref="E3:E34" si="0">C3/$L$4</f>
        <v>0.2415</v>
      </c>
      <c r="K3" s="8" t="s">
        <v>10</v>
      </c>
      <c r="L3" s="8">
        <v>111</v>
      </c>
      <c r="M3" s="8" t="s">
        <v>11</v>
      </c>
    </row>
    <row r="4" spans="1:13">
      <c r="A4" s="7">
        <v>20.4</v>
      </c>
      <c r="B4" s="7">
        <v>1.6977</v>
      </c>
      <c r="C4" s="7">
        <v>15.3</v>
      </c>
      <c r="D4" s="9">
        <f t="shared" ref="D4:D35" si="1">(B4/$L$3)-0.01521982</f>
        <v>7.47745945945937e-5</v>
      </c>
      <c r="E4" s="9">
        <f t="shared" si="0"/>
        <v>0.255</v>
      </c>
      <c r="K4" s="8" t="s">
        <v>12</v>
      </c>
      <c r="L4" s="8">
        <f>10*6</f>
        <v>60</v>
      </c>
      <c r="M4" s="8" t="s">
        <v>13</v>
      </c>
    </row>
    <row r="5" spans="1:13">
      <c r="A5" s="7">
        <v>20.5</v>
      </c>
      <c r="B5" s="7">
        <v>1.706</v>
      </c>
      <c r="C5" s="7">
        <v>17.71</v>
      </c>
      <c r="D5" s="9">
        <f t="shared" si="1"/>
        <v>0.000149549369369369</v>
      </c>
      <c r="E5" s="9">
        <f t="shared" si="0"/>
        <v>0.295166666666667</v>
      </c>
    </row>
    <row r="6" spans="1:13">
      <c r="A6" s="7">
        <v>20.6</v>
      </c>
      <c r="B6" s="7">
        <v>1.7144</v>
      </c>
      <c r="C6" s="7">
        <v>20.93</v>
      </c>
      <c r="D6" s="9">
        <f t="shared" si="1"/>
        <v>0.000225225045045045</v>
      </c>
      <c r="E6" s="9">
        <f t="shared" si="0"/>
        <v>0.348833333333333</v>
      </c>
    </row>
    <row r="7" spans="1:13">
      <c r="A7" s="7">
        <v>20.7</v>
      </c>
      <c r="B7" s="7">
        <v>1.7227</v>
      </c>
      <c r="C7" s="7">
        <v>23.35</v>
      </c>
      <c r="D7" s="9">
        <f t="shared" si="1"/>
        <v>0.000299999819819818</v>
      </c>
      <c r="E7" s="9">
        <f t="shared" si="0"/>
        <v>0.389166666666667</v>
      </c>
    </row>
    <row r="8" spans="1:13">
      <c r="A8" s="7">
        <v>20.8</v>
      </c>
      <c r="B8" s="7">
        <v>1.7311</v>
      </c>
      <c r="C8" s="7">
        <v>26.57</v>
      </c>
      <c r="D8" s="9">
        <f t="shared" si="1"/>
        <v>0.000375675495495496</v>
      </c>
      <c r="E8" s="9">
        <f t="shared" si="0"/>
        <v>0.442833333333333</v>
      </c>
    </row>
    <row r="9" spans="1:13">
      <c r="A9" s="7">
        <v>20.9</v>
      </c>
      <c r="B9" s="7">
        <v>1.7394</v>
      </c>
      <c r="C9" s="7">
        <v>29.79</v>
      </c>
      <c r="D9" s="9">
        <f t="shared" si="1"/>
        <v>0.000450450270270271</v>
      </c>
      <c r="E9" s="9">
        <f t="shared" si="0"/>
        <v>0.4965</v>
      </c>
    </row>
    <row r="10" spans="1:13">
      <c r="A10" s="7">
        <v>21</v>
      </c>
      <c r="B10" s="7">
        <v>1.7477</v>
      </c>
      <c r="C10" s="7">
        <v>33.82</v>
      </c>
      <c r="D10" s="9">
        <f t="shared" si="1"/>
        <v>0.000525225045045047</v>
      </c>
      <c r="E10" s="9">
        <f t="shared" si="0"/>
        <v>0.563666666666667</v>
      </c>
    </row>
    <row r="11" spans="1:13">
      <c r="A11" s="7">
        <v>21.1</v>
      </c>
      <c r="B11" s="7">
        <v>1.7561</v>
      </c>
      <c r="C11" s="7">
        <v>37.04</v>
      </c>
      <c r="D11" s="9">
        <f t="shared" si="1"/>
        <v>0.000600900720720719</v>
      </c>
      <c r="E11" s="9">
        <f t="shared" si="0"/>
        <v>0.617333333333333</v>
      </c>
    </row>
    <row r="12" spans="1:13">
      <c r="A12" s="7">
        <v>21.2</v>
      </c>
      <c r="B12" s="7">
        <v>1.7644</v>
      </c>
      <c r="C12" s="7">
        <v>40.26</v>
      </c>
      <c r="D12" s="9">
        <f t="shared" si="1"/>
        <v>0.000675675495495494</v>
      </c>
      <c r="E12" s="9">
        <f t="shared" si="0"/>
        <v>0.671</v>
      </c>
    </row>
    <row r="13" spans="1:13">
      <c r="A13" s="7">
        <v>21.3</v>
      </c>
      <c r="B13" s="7">
        <v>1.7727</v>
      </c>
      <c r="C13" s="7">
        <v>44.29</v>
      </c>
      <c r="D13" s="9">
        <f t="shared" si="1"/>
        <v>0.000750450270270269</v>
      </c>
      <c r="E13" s="9">
        <f t="shared" si="0"/>
        <v>0.738166666666667</v>
      </c>
    </row>
    <row r="14" spans="1:13">
      <c r="A14" s="7">
        <v>21.4</v>
      </c>
      <c r="B14" s="7">
        <v>1.781</v>
      </c>
      <c r="C14" s="7">
        <v>48.32</v>
      </c>
      <c r="D14" s="9">
        <f t="shared" si="1"/>
        <v>0.000825225045045045</v>
      </c>
      <c r="E14" s="9">
        <f t="shared" si="0"/>
        <v>0.805333333333333</v>
      </c>
    </row>
    <row r="15" spans="1:13">
      <c r="A15" s="7">
        <v>21.5</v>
      </c>
      <c r="B15" s="7">
        <v>1.7894</v>
      </c>
      <c r="C15" s="7">
        <v>51.54</v>
      </c>
      <c r="D15" s="9">
        <f t="shared" si="1"/>
        <v>0.000900900720720721</v>
      </c>
      <c r="E15" s="9">
        <f t="shared" si="0"/>
        <v>0.859</v>
      </c>
    </row>
    <row r="16" spans="1:13">
      <c r="A16" s="7">
        <v>21.6</v>
      </c>
      <c r="B16" s="7">
        <v>1.7977</v>
      </c>
      <c r="C16" s="7">
        <v>55.56</v>
      </c>
      <c r="D16" s="9">
        <f t="shared" si="1"/>
        <v>0.000975675495495496</v>
      </c>
      <c r="E16" s="9">
        <f t="shared" si="0"/>
        <v>0.926</v>
      </c>
    </row>
    <row r="17" spans="1:13">
      <c r="A17" s="7">
        <v>21.7</v>
      </c>
      <c r="B17" s="7">
        <v>1.8061</v>
      </c>
      <c r="C17" s="7">
        <v>59.59</v>
      </c>
      <c r="D17" s="9">
        <f t="shared" si="1"/>
        <v>0.00105135117117117</v>
      </c>
      <c r="E17" s="9">
        <f t="shared" si="0"/>
        <v>0.993166666666667</v>
      </c>
    </row>
    <row r="18" spans="1:13">
      <c r="A18" s="7">
        <v>21.8</v>
      </c>
      <c r="B18" s="7">
        <v>1.8144</v>
      </c>
      <c r="C18" s="7">
        <v>63.62</v>
      </c>
      <c r="D18" s="9">
        <f t="shared" si="1"/>
        <v>0.00112612594594595</v>
      </c>
      <c r="E18" s="9">
        <f t="shared" si="0"/>
        <v>1.06033333333333</v>
      </c>
    </row>
    <row r="19" spans="1:13">
      <c r="A19" s="7">
        <v>21.9</v>
      </c>
      <c r="B19" s="7">
        <v>1.8227</v>
      </c>
      <c r="C19" s="7">
        <v>67.64</v>
      </c>
      <c r="D19" s="9">
        <f t="shared" si="1"/>
        <v>0.00120090072072072</v>
      </c>
      <c r="E19" s="9">
        <f t="shared" si="0"/>
        <v>1.12733333333333</v>
      </c>
    </row>
    <row r="20" spans="1:13">
      <c r="A20" s="7">
        <v>22</v>
      </c>
      <c r="B20" s="7">
        <v>1.8311</v>
      </c>
      <c r="C20" s="7">
        <v>71.67</v>
      </c>
      <c r="D20" s="9">
        <f t="shared" si="1"/>
        <v>0.00127657639639639</v>
      </c>
      <c r="E20" s="9">
        <f t="shared" si="0"/>
        <v>1.1945</v>
      </c>
    </row>
    <row r="21" spans="1:13">
      <c r="A21" s="7">
        <v>22.1</v>
      </c>
      <c r="B21" s="7">
        <v>1.8394</v>
      </c>
      <c r="C21" s="7">
        <v>76.5</v>
      </c>
      <c r="D21" s="9">
        <f t="shared" si="1"/>
        <v>0.00135135117117117</v>
      </c>
      <c r="E21" s="9">
        <f t="shared" si="0"/>
        <v>1.275</v>
      </c>
    </row>
    <row r="22" spans="1:13">
      <c r="A22" s="7">
        <v>22.2</v>
      </c>
      <c r="B22" s="7">
        <v>1.8477</v>
      </c>
      <c r="C22" s="7">
        <v>81.34</v>
      </c>
      <c r="D22" s="9">
        <f t="shared" si="1"/>
        <v>0.00142612594594595</v>
      </c>
      <c r="E22" s="9">
        <f t="shared" si="0"/>
        <v>1.35566666666667</v>
      </c>
    </row>
    <row r="23" spans="1:13">
      <c r="A23" s="7">
        <v>22.3</v>
      </c>
      <c r="B23" s="7">
        <v>1.856</v>
      </c>
      <c r="C23" s="7">
        <v>86.17</v>
      </c>
      <c r="D23" s="9">
        <f t="shared" si="1"/>
        <v>0.00150090072072072</v>
      </c>
      <c r="E23" s="9">
        <f t="shared" si="0"/>
        <v>1.43616666666667</v>
      </c>
    </row>
    <row r="24" spans="1:13">
      <c r="A24" s="7">
        <v>22.4</v>
      </c>
      <c r="B24" s="7">
        <v>1.8644</v>
      </c>
      <c r="C24" s="7">
        <v>91.81</v>
      </c>
      <c r="D24" s="9">
        <f t="shared" si="1"/>
        <v>0.0015765763963964</v>
      </c>
      <c r="E24" s="9">
        <f t="shared" si="0"/>
        <v>1.53016666666667</v>
      </c>
    </row>
    <row r="25" spans="1:13">
      <c r="A25" s="7">
        <v>22.5</v>
      </c>
      <c r="B25" s="7">
        <v>1.8727</v>
      </c>
      <c r="C25" s="7">
        <v>96.64</v>
      </c>
      <c r="D25" s="9">
        <f t="shared" si="1"/>
        <v>0.00165135117117117</v>
      </c>
      <c r="E25" s="9">
        <f t="shared" si="0"/>
        <v>1.61066666666667</v>
      </c>
    </row>
    <row r="26" spans="1:13">
      <c r="A26" s="7">
        <v>22.6</v>
      </c>
      <c r="B26" s="7">
        <v>1.8811</v>
      </c>
      <c r="C26" s="7">
        <v>101.47</v>
      </c>
      <c r="D26" s="9">
        <f t="shared" si="1"/>
        <v>0.00172702684684685</v>
      </c>
      <c r="E26" s="9">
        <f t="shared" si="0"/>
        <v>1.69116666666667</v>
      </c>
      <c r="J26" s="10" t="s">
        <v>14</v>
      </c>
      <c r="K26" s="10"/>
      <c r="L26" s="11">
        <f>MAX(E:E)</f>
        <v>10.3218331666667</v>
      </c>
      <c r="M26" s="10" t="s">
        <v>15</v>
      </c>
    </row>
    <row r="27" spans="1:13">
      <c r="A27" s="7">
        <v>22.7</v>
      </c>
      <c r="B27" s="7">
        <v>1.8894</v>
      </c>
      <c r="C27" s="7">
        <v>107.11</v>
      </c>
      <c r="D27" s="9">
        <f t="shared" si="1"/>
        <v>0.00180180162162162</v>
      </c>
      <c r="E27" s="9">
        <f t="shared" si="0"/>
        <v>1.78516666666667</v>
      </c>
      <c r="J27" s="10" t="s">
        <v>16</v>
      </c>
      <c r="K27" s="10"/>
      <c r="L27" s="10">
        <v>0.0123873872072072</v>
      </c>
      <c r="M27" s="10" t="s">
        <v>17</v>
      </c>
    </row>
    <row r="28" spans="1:13">
      <c r="A28" s="7">
        <v>22.8</v>
      </c>
      <c r="B28" s="7">
        <v>1.8977</v>
      </c>
      <c r="C28" s="7">
        <v>111.94</v>
      </c>
      <c r="D28" s="9">
        <f t="shared" si="1"/>
        <v>0.00187657639639639</v>
      </c>
      <c r="E28" s="9">
        <f t="shared" si="0"/>
        <v>1.86566666666667</v>
      </c>
    </row>
    <row r="29" spans="1:13">
      <c r="A29" s="7">
        <v>22.9</v>
      </c>
      <c r="B29" s="7">
        <v>1.9061</v>
      </c>
      <c r="C29" s="7">
        <v>116.77</v>
      </c>
      <c r="D29" s="9">
        <f t="shared" si="1"/>
        <v>0.00195225207207207</v>
      </c>
      <c r="E29" s="9">
        <f t="shared" si="0"/>
        <v>1.94616666666667</v>
      </c>
    </row>
    <row r="30" spans="1:13">
      <c r="A30" s="7">
        <v>23</v>
      </c>
      <c r="B30" s="7">
        <v>1.9144</v>
      </c>
      <c r="C30" s="7">
        <v>121.6</v>
      </c>
      <c r="D30" s="9">
        <f t="shared" si="1"/>
        <v>0.00202702684684685</v>
      </c>
      <c r="E30" s="9">
        <f t="shared" si="0"/>
        <v>2.02666666666667</v>
      </c>
    </row>
    <row r="31" spans="1:13">
      <c r="A31" s="7">
        <v>23.1</v>
      </c>
      <c r="B31" s="7">
        <v>1.9227</v>
      </c>
      <c r="C31" s="7">
        <v>126.44</v>
      </c>
      <c r="D31" s="9">
        <f t="shared" si="1"/>
        <v>0.00210180162162162</v>
      </c>
      <c r="E31" s="9">
        <f t="shared" si="0"/>
        <v>2.10733333333333</v>
      </c>
    </row>
    <row r="32" spans="1:13">
      <c r="A32" s="7">
        <v>23.2</v>
      </c>
      <c r="B32" s="7">
        <v>1.931</v>
      </c>
      <c r="C32" s="7">
        <v>132.07</v>
      </c>
      <c r="D32" s="9">
        <f t="shared" si="1"/>
        <v>0.0021765763963964</v>
      </c>
      <c r="E32" s="9">
        <f t="shared" si="0"/>
        <v>2.20116666666667</v>
      </c>
    </row>
    <row r="33" spans="1:5">
      <c r="A33" s="7">
        <v>23.3</v>
      </c>
      <c r="B33" s="7">
        <v>1.9394</v>
      </c>
      <c r="C33" s="7">
        <v>136.9</v>
      </c>
      <c r="D33" s="9">
        <f t="shared" si="1"/>
        <v>0.00225225207207207</v>
      </c>
      <c r="E33" s="9">
        <f t="shared" si="0"/>
        <v>2.28166666666667</v>
      </c>
    </row>
    <row r="34" spans="1:5">
      <c r="A34" s="7">
        <v>23.4</v>
      </c>
      <c r="B34" s="7">
        <v>1.9477</v>
      </c>
      <c r="C34" s="7">
        <v>141.73999</v>
      </c>
      <c r="D34" s="9">
        <f t="shared" si="1"/>
        <v>0.00232702684684685</v>
      </c>
      <c r="E34" s="9">
        <f t="shared" si="0"/>
        <v>2.36233316666667</v>
      </c>
    </row>
    <row r="35" spans="1:5">
      <c r="A35" s="7">
        <v>23.5</v>
      </c>
      <c r="B35" s="7">
        <v>1.9561</v>
      </c>
      <c r="C35" s="7">
        <v>147.37001</v>
      </c>
      <c r="D35" s="9">
        <f t="shared" si="1"/>
        <v>0.00240270252252252</v>
      </c>
      <c r="E35" s="9">
        <f t="shared" ref="E35:E66" si="2">C35/$L$4</f>
        <v>2.45616683333333</v>
      </c>
    </row>
    <row r="36" spans="1:5">
      <c r="A36" s="7">
        <v>23.6</v>
      </c>
      <c r="B36" s="7">
        <v>1.9644</v>
      </c>
      <c r="C36" s="7">
        <v>152.21</v>
      </c>
      <c r="D36" s="9">
        <f t="shared" ref="D36:D67" si="3">(B36/$L$3)-0.01521982</f>
        <v>0.00247747729729729</v>
      </c>
      <c r="E36" s="9">
        <f t="shared" si="2"/>
        <v>2.53683333333333</v>
      </c>
    </row>
    <row r="37" spans="1:5">
      <c r="A37" s="7">
        <v>23.7</v>
      </c>
      <c r="B37" s="7">
        <v>1.9727</v>
      </c>
      <c r="C37" s="7">
        <v>157.04</v>
      </c>
      <c r="D37" s="9">
        <f t="shared" si="3"/>
        <v>0.00255225207207207</v>
      </c>
      <c r="E37" s="9">
        <f t="shared" si="2"/>
        <v>2.61733333333333</v>
      </c>
    </row>
    <row r="38" spans="1:5">
      <c r="A38" s="7">
        <v>23.8</v>
      </c>
      <c r="B38" s="7">
        <v>1.9811</v>
      </c>
      <c r="C38" s="7">
        <v>161.87</v>
      </c>
      <c r="D38" s="9">
        <f t="shared" si="3"/>
        <v>0.00262792774774775</v>
      </c>
      <c r="E38" s="9">
        <f t="shared" si="2"/>
        <v>2.69783333333333</v>
      </c>
    </row>
    <row r="39" spans="1:5">
      <c r="A39" s="7">
        <v>23.9</v>
      </c>
      <c r="B39" s="7">
        <v>1.9894</v>
      </c>
      <c r="C39" s="7">
        <v>167.51</v>
      </c>
      <c r="D39" s="9">
        <f t="shared" si="3"/>
        <v>0.00270270252252252</v>
      </c>
      <c r="E39" s="9">
        <f t="shared" si="2"/>
        <v>2.79183333333333</v>
      </c>
    </row>
    <row r="40" spans="1:5">
      <c r="A40" s="7">
        <v>24</v>
      </c>
      <c r="B40" s="7">
        <v>1.9977</v>
      </c>
      <c r="C40" s="7">
        <v>172.34</v>
      </c>
      <c r="D40" s="9">
        <f t="shared" si="3"/>
        <v>0.0027774772972973</v>
      </c>
      <c r="E40" s="9">
        <f t="shared" si="2"/>
        <v>2.87233333333333</v>
      </c>
    </row>
    <row r="41" spans="1:5">
      <c r="A41" s="7">
        <v>24.1</v>
      </c>
      <c r="B41" s="7">
        <v>2.006</v>
      </c>
      <c r="C41" s="7">
        <v>177.17001</v>
      </c>
      <c r="D41" s="9">
        <f t="shared" si="3"/>
        <v>0.00285225207207207</v>
      </c>
      <c r="E41" s="9">
        <f t="shared" si="2"/>
        <v>2.9528335</v>
      </c>
    </row>
    <row r="42" spans="1:5">
      <c r="A42" s="7">
        <v>24.2</v>
      </c>
      <c r="B42" s="7">
        <v>2.0144</v>
      </c>
      <c r="C42" s="7">
        <v>181.99999</v>
      </c>
      <c r="D42" s="9">
        <f t="shared" si="3"/>
        <v>0.00292792774774775</v>
      </c>
      <c r="E42" s="9">
        <f t="shared" si="2"/>
        <v>3.03333316666667</v>
      </c>
    </row>
    <row r="43" spans="1:5">
      <c r="A43" s="7">
        <v>24.3</v>
      </c>
      <c r="B43" s="7">
        <v>2.0227</v>
      </c>
      <c r="C43" s="7">
        <v>187.63999</v>
      </c>
      <c r="D43" s="9">
        <f t="shared" si="3"/>
        <v>0.00300270252252252</v>
      </c>
      <c r="E43" s="9">
        <f t="shared" si="2"/>
        <v>3.12733316666667</v>
      </c>
    </row>
    <row r="44" spans="1:5">
      <c r="A44" s="7">
        <v>24.4</v>
      </c>
      <c r="B44" s="7">
        <v>2.0311</v>
      </c>
      <c r="C44" s="7">
        <v>192.47</v>
      </c>
      <c r="D44" s="9">
        <f t="shared" si="3"/>
        <v>0.0030783781981982</v>
      </c>
      <c r="E44" s="9">
        <f t="shared" si="2"/>
        <v>3.20783333333333</v>
      </c>
    </row>
    <row r="45" spans="1:5">
      <c r="A45" s="7">
        <v>24.5</v>
      </c>
      <c r="B45" s="7">
        <v>2.0394</v>
      </c>
      <c r="C45" s="7">
        <v>197.31</v>
      </c>
      <c r="D45" s="9">
        <f t="shared" si="3"/>
        <v>0.00315315297297297</v>
      </c>
      <c r="E45" s="9">
        <f t="shared" si="2"/>
        <v>3.2885</v>
      </c>
    </row>
    <row r="46" spans="1:5">
      <c r="A46" s="7">
        <v>24.6</v>
      </c>
      <c r="B46" s="7">
        <v>2.0477</v>
      </c>
      <c r="C46" s="7">
        <v>202.14</v>
      </c>
      <c r="D46" s="9">
        <f t="shared" si="3"/>
        <v>0.00322792774774775</v>
      </c>
      <c r="E46" s="9">
        <f t="shared" si="2"/>
        <v>3.369</v>
      </c>
    </row>
    <row r="47" spans="1:5">
      <c r="A47" s="7">
        <v>24.7</v>
      </c>
      <c r="B47" s="7">
        <v>2.0561</v>
      </c>
      <c r="C47" s="7">
        <v>206.97</v>
      </c>
      <c r="D47" s="9">
        <f t="shared" si="3"/>
        <v>0.00330360342342342</v>
      </c>
      <c r="E47" s="9">
        <f t="shared" si="2"/>
        <v>3.4495</v>
      </c>
    </row>
    <row r="48" spans="1:5">
      <c r="A48" s="7">
        <v>24.8</v>
      </c>
      <c r="B48" s="7">
        <v>2.0644</v>
      </c>
      <c r="C48" s="7">
        <v>212.61001</v>
      </c>
      <c r="D48" s="9">
        <f t="shared" si="3"/>
        <v>0.0033783781981982</v>
      </c>
      <c r="E48" s="9">
        <f t="shared" si="2"/>
        <v>3.54350016666667</v>
      </c>
    </row>
    <row r="49" spans="1:5">
      <c r="A49" s="7">
        <v>24.9</v>
      </c>
      <c r="B49" s="7">
        <v>2.0727</v>
      </c>
      <c r="C49" s="7">
        <v>217.43999</v>
      </c>
      <c r="D49" s="9">
        <f t="shared" si="3"/>
        <v>0.00345315297297298</v>
      </c>
      <c r="E49" s="9">
        <f t="shared" si="2"/>
        <v>3.62399983333333</v>
      </c>
    </row>
    <row r="50" spans="1:5">
      <c r="A50" s="7">
        <v>25</v>
      </c>
      <c r="B50" s="7">
        <v>2.081</v>
      </c>
      <c r="C50" s="7">
        <v>222.27</v>
      </c>
      <c r="D50" s="9">
        <f t="shared" si="3"/>
        <v>0.00352792774774775</v>
      </c>
      <c r="E50" s="9">
        <f t="shared" si="2"/>
        <v>3.7045</v>
      </c>
    </row>
    <row r="51" spans="1:5">
      <c r="A51" s="7">
        <v>25.1</v>
      </c>
      <c r="B51" s="7">
        <v>2.0894</v>
      </c>
      <c r="C51" s="7">
        <v>227.1</v>
      </c>
      <c r="D51" s="9">
        <f t="shared" si="3"/>
        <v>0.00360360342342342</v>
      </c>
      <c r="E51" s="9">
        <f t="shared" si="2"/>
        <v>3.785</v>
      </c>
    </row>
    <row r="52" spans="1:5">
      <c r="A52" s="7">
        <v>25.2</v>
      </c>
      <c r="B52" s="7">
        <v>2.0977</v>
      </c>
      <c r="C52" s="7">
        <v>231.94</v>
      </c>
      <c r="D52" s="9">
        <f t="shared" si="3"/>
        <v>0.0036783781981982</v>
      </c>
      <c r="E52" s="9">
        <f t="shared" si="2"/>
        <v>3.86566666666667</v>
      </c>
    </row>
    <row r="53" spans="1:5">
      <c r="A53" s="7">
        <v>25.3</v>
      </c>
      <c r="B53" s="7">
        <v>2.1061</v>
      </c>
      <c r="C53" s="7">
        <v>236.76999</v>
      </c>
      <c r="D53" s="9">
        <f t="shared" si="3"/>
        <v>0.00375405387387387</v>
      </c>
      <c r="E53" s="9">
        <f t="shared" si="2"/>
        <v>3.9461665</v>
      </c>
    </row>
    <row r="54" spans="1:5">
      <c r="A54" s="7">
        <v>25.4</v>
      </c>
      <c r="B54" s="7">
        <v>2.1144</v>
      </c>
      <c r="C54" s="7">
        <v>241.6</v>
      </c>
      <c r="D54" s="9">
        <f t="shared" si="3"/>
        <v>0.00382882864864865</v>
      </c>
      <c r="E54" s="9">
        <f t="shared" si="2"/>
        <v>4.02666666666667</v>
      </c>
    </row>
    <row r="55" spans="1:5">
      <c r="A55" s="7">
        <v>25.5</v>
      </c>
      <c r="B55" s="7">
        <v>2.1227</v>
      </c>
      <c r="C55" s="7">
        <v>246.42999</v>
      </c>
      <c r="D55" s="9">
        <f t="shared" si="3"/>
        <v>0.00390360342342343</v>
      </c>
      <c r="E55" s="9">
        <f t="shared" si="2"/>
        <v>4.1071665</v>
      </c>
    </row>
    <row r="56" spans="1:5">
      <c r="A56" s="7">
        <v>25.6</v>
      </c>
      <c r="B56" s="7">
        <v>2.1311</v>
      </c>
      <c r="C56" s="7">
        <v>251.26001</v>
      </c>
      <c r="D56" s="9">
        <f t="shared" si="3"/>
        <v>0.0039792790990991</v>
      </c>
      <c r="E56" s="9">
        <f t="shared" si="2"/>
        <v>4.18766683333333</v>
      </c>
    </row>
    <row r="57" spans="1:5">
      <c r="A57" s="7">
        <v>25.7</v>
      </c>
      <c r="B57" s="7">
        <v>2.1394</v>
      </c>
      <c r="C57" s="7">
        <v>256.1</v>
      </c>
      <c r="D57" s="9">
        <f t="shared" si="3"/>
        <v>0.00405405387387388</v>
      </c>
      <c r="E57" s="9">
        <f t="shared" si="2"/>
        <v>4.26833333333333</v>
      </c>
    </row>
    <row r="58" spans="1:5">
      <c r="A58" s="7">
        <v>25.8</v>
      </c>
      <c r="B58" s="7">
        <v>2.1477</v>
      </c>
      <c r="C58" s="7">
        <v>260.92999</v>
      </c>
      <c r="D58" s="9">
        <f t="shared" si="3"/>
        <v>0.00412882864864865</v>
      </c>
      <c r="E58" s="9">
        <f t="shared" si="2"/>
        <v>4.34883316666667</v>
      </c>
    </row>
    <row r="59" spans="1:5">
      <c r="A59" s="7">
        <v>25.9</v>
      </c>
      <c r="B59" s="7">
        <v>2.156</v>
      </c>
      <c r="C59" s="7">
        <v>265.76</v>
      </c>
      <c r="D59" s="9">
        <f t="shared" si="3"/>
        <v>0.00420360342342342</v>
      </c>
      <c r="E59" s="9">
        <f t="shared" si="2"/>
        <v>4.42933333333333</v>
      </c>
    </row>
    <row r="60" spans="1:5">
      <c r="A60" s="7">
        <v>26</v>
      </c>
      <c r="B60" s="7">
        <v>2.1644</v>
      </c>
      <c r="C60" s="7">
        <v>270.58999</v>
      </c>
      <c r="D60" s="9">
        <f t="shared" si="3"/>
        <v>0.0042792790990991</v>
      </c>
      <c r="E60" s="9">
        <f t="shared" si="2"/>
        <v>4.50983316666667</v>
      </c>
    </row>
    <row r="61" spans="1:5">
      <c r="A61" s="7">
        <v>26.1</v>
      </c>
      <c r="B61" s="7">
        <v>2.1727</v>
      </c>
      <c r="C61" s="7">
        <v>275.43001</v>
      </c>
      <c r="D61" s="9">
        <f t="shared" si="3"/>
        <v>0.00435405387387387</v>
      </c>
      <c r="E61" s="9">
        <f t="shared" si="2"/>
        <v>4.59050016666667</v>
      </c>
    </row>
    <row r="62" spans="1:5">
      <c r="A62" s="7">
        <v>26.2</v>
      </c>
      <c r="B62" s="7">
        <v>2.1811</v>
      </c>
      <c r="C62" s="7">
        <v>280.26</v>
      </c>
      <c r="D62" s="9">
        <f t="shared" si="3"/>
        <v>0.00442972954954955</v>
      </c>
      <c r="E62" s="9">
        <f t="shared" si="2"/>
        <v>4.671</v>
      </c>
    </row>
    <row r="63" spans="1:5">
      <c r="A63" s="7">
        <v>26.3</v>
      </c>
      <c r="B63" s="7">
        <v>2.1894</v>
      </c>
      <c r="C63" s="7">
        <v>284.28001</v>
      </c>
      <c r="D63" s="9">
        <f t="shared" si="3"/>
        <v>0.00450450432432433</v>
      </c>
      <c r="E63" s="9">
        <f t="shared" si="2"/>
        <v>4.73800016666667</v>
      </c>
    </row>
    <row r="64" spans="1:5">
      <c r="A64" s="7">
        <v>26.4</v>
      </c>
      <c r="B64" s="7">
        <v>2.1977</v>
      </c>
      <c r="C64" s="7">
        <v>289.12</v>
      </c>
      <c r="D64" s="9">
        <f t="shared" si="3"/>
        <v>0.0045792790990991</v>
      </c>
      <c r="E64" s="9">
        <f t="shared" si="2"/>
        <v>4.81866666666667</v>
      </c>
    </row>
    <row r="65" spans="1:5">
      <c r="A65" s="7">
        <v>26.5</v>
      </c>
      <c r="B65" s="7">
        <v>2.2061</v>
      </c>
      <c r="C65" s="7">
        <v>293.94999</v>
      </c>
      <c r="D65" s="9">
        <f t="shared" si="3"/>
        <v>0.00465495477477478</v>
      </c>
      <c r="E65" s="9">
        <f t="shared" si="2"/>
        <v>4.8991665</v>
      </c>
    </row>
    <row r="66" spans="1:5">
      <c r="A66" s="7">
        <v>26.6</v>
      </c>
      <c r="B66" s="7">
        <v>2.2144</v>
      </c>
      <c r="C66" s="7">
        <v>297.98001</v>
      </c>
      <c r="D66" s="9">
        <f t="shared" si="3"/>
        <v>0.00472972954954955</v>
      </c>
      <c r="E66" s="9">
        <f t="shared" si="2"/>
        <v>4.9663335</v>
      </c>
    </row>
    <row r="67" spans="1:5">
      <c r="A67" s="7">
        <v>26.7</v>
      </c>
      <c r="B67" s="7">
        <v>2.2227</v>
      </c>
      <c r="C67" s="7">
        <v>302.81</v>
      </c>
      <c r="D67" s="9">
        <f t="shared" si="3"/>
        <v>0.00480450432432432</v>
      </c>
      <c r="E67" s="9">
        <f t="shared" ref="E67:E98" si="4">C67/$L$4</f>
        <v>5.04683333333333</v>
      </c>
    </row>
    <row r="68" spans="1:5">
      <c r="A68" s="7">
        <v>26.8</v>
      </c>
      <c r="B68" s="7">
        <v>2.231</v>
      </c>
      <c r="C68" s="7">
        <v>307.63999</v>
      </c>
      <c r="D68" s="9">
        <f t="shared" ref="D68:D99" si="5">(B68/$L$3)-0.01521982</f>
        <v>0.0048792790990991</v>
      </c>
      <c r="E68" s="9">
        <f t="shared" si="4"/>
        <v>5.12733316666667</v>
      </c>
    </row>
    <row r="69" spans="1:5">
      <c r="A69" s="7">
        <v>26.9</v>
      </c>
      <c r="B69" s="7">
        <v>2.2394</v>
      </c>
      <c r="C69" s="7">
        <v>312.47</v>
      </c>
      <c r="D69" s="9">
        <f t="shared" si="5"/>
        <v>0.00495495477477477</v>
      </c>
      <c r="E69" s="9">
        <f t="shared" si="4"/>
        <v>5.20783333333333</v>
      </c>
    </row>
    <row r="70" spans="1:5">
      <c r="A70" s="7">
        <v>27</v>
      </c>
      <c r="B70" s="7">
        <v>2.2477</v>
      </c>
      <c r="C70" s="7">
        <v>316.49999</v>
      </c>
      <c r="D70" s="9">
        <f t="shared" si="5"/>
        <v>0.00502972954954955</v>
      </c>
      <c r="E70" s="9">
        <f t="shared" si="4"/>
        <v>5.27499983333333</v>
      </c>
    </row>
    <row r="71" spans="1:5">
      <c r="A71" s="7">
        <v>27.1</v>
      </c>
      <c r="B71" s="7">
        <v>2.2561</v>
      </c>
      <c r="C71" s="7">
        <v>321.33001</v>
      </c>
      <c r="D71" s="9">
        <f t="shared" si="5"/>
        <v>0.00510540522522523</v>
      </c>
      <c r="E71" s="9">
        <f t="shared" si="4"/>
        <v>5.35550016666667</v>
      </c>
    </row>
    <row r="72" spans="1:5">
      <c r="A72" s="7">
        <v>27.2</v>
      </c>
      <c r="B72" s="7">
        <v>2.2644</v>
      </c>
      <c r="C72" s="7">
        <v>325.36</v>
      </c>
      <c r="D72" s="9">
        <f t="shared" si="5"/>
        <v>0.00518018</v>
      </c>
      <c r="E72" s="9">
        <f t="shared" si="4"/>
        <v>5.42266666666667</v>
      </c>
    </row>
    <row r="73" spans="1:5">
      <c r="A73" s="7">
        <v>27.3</v>
      </c>
      <c r="B73" s="7">
        <v>2.2727</v>
      </c>
      <c r="C73" s="7">
        <v>330.18999</v>
      </c>
      <c r="D73" s="9">
        <f t="shared" si="5"/>
        <v>0.00525495477477477</v>
      </c>
      <c r="E73" s="9">
        <f t="shared" si="4"/>
        <v>5.5031665</v>
      </c>
    </row>
    <row r="74" spans="1:5">
      <c r="A74" s="7">
        <v>27.4</v>
      </c>
      <c r="B74" s="7">
        <v>2.2811</v>
      </c>
      <c r="C74" s="7">
        <v>335.02</v>
      </c>
      <c r="D74" s="9">
        <f t="shared" si="5"/>
        <v>0.00533063045045045</v>
      </c>
      <c r="E74" s="9">
        <f t="shared" si="4"/>
        <v>5.58366666666667</v>
      </c>
    </row>
    <row r="75" spans="1:5">
      <c r="A75" s="7">
        <v>27.5</v>
      </c>
      <c r="B75" s="7">
        <v>2.2894</v>
      </c>
      <c r="C75" s="7">
        <v>339.04999</v>
      </c>
      <c r="D75" s="9">
        <f t="shared" si="5"/>
        <v>0.00540540522522523</v>
      </c>
      <c r="E75" s="9">
        <f t="shared" si="4"/>
        <v>5.65083316666667</v>
      </c>
    </row>
    <row r="76" spans="1:5">
      <c r="A76" s="7">
        <v>27.6</v>
      </c>
      <c r="B76" s="7">
        <v>2.2977</v>
      </c>
      <c r="C76" s="7">
        <v>343.88001</v>
      </c>
      <c r="D76" s="9">
        <f t="shared" si="5"/>
        <v>0.00548018</v>
      </c>
      <c r="E76" s="9">
        <f t="shared" si="4"/>
        <v>5.7313335</v>
      </c>
    </row>
    <row r="77" spans="1:5">
      <c r="A77" s="7">
        <v>27.7</v>
      </c>
      <c r="B77" s="7">
        <v>2.306</v>
      </c>
      <c r="C77" s="7">
        <v>347.91</v>
      </c>
      <c r="D77" s="9">
        <f t="shared" si="5"/>
        <v>0.00555495477477477</v>
      </c>
      <c r="E77" s="9">
        <f t="shared" si="4"/>
        <v>5.7985</v>
      </c>
    </row>
    <row r="78" spans="1:5">
      <c r="A78" s="7">
        <v>27.8</v>
      </c>
      <c r="B78" s="7">
        <v>2.3144</v>
      </c>
      <c r="C78" s="7">
        <v>352.73999</v>
      </c>
      <c r="D78" s="9">
        <f t="shared" si="5"/>
        <v>0.00563063045045045</v>
      </c>
      <c r="E78" s="9">
        <f t="shared" si="4"/>
        <v>5.87899983333333</v>
      </c>
    </row>
    <row r="79" spans="1:5">
      <c r="A79" s="7">
        <v>27.9</v>
      </c>
      <c r="B79" s="7">
        <v>2.3227</v>
      </c>
      <c r="C79" s="7">
        <v>356.77001</v>
      </c>
      <c r="D79" s="9">
        <f t="shared" si="5"/>
        <v>0.00570540522522523</v>
      </c>
      <c r="E79" s="9">
        <f t="shared" si="4"/>
        <v>5.94616683333333</v>
      </c>
    </row>
    <row r="80" spans="1:5">
      <c r="A80" s="7">
        <v>28</v>
      </c>
      <c r="B80" s="7">
        <v>2.331</v>
      </c>
      <c r="C80" s="7">
        <v>360.79</v>
      </c>
      <c r="D80" s="9">
        <f t="shared" si="5"/>
        <v>0.00578018</v>
      </c>
      <c r="E80" s="9">
        <f t="shared" si="4"/>
        <v>6.01316666666667</v>
      </c>
    </row>
    <row r="81" spans="1:5">
      <c r="A81" s="7">
        <v>28.1</v>
      </c>
      <c r="B81" s="7">
        <v>2.3394</v>
      </c>
      <c r="C81" s="7">
        <v>365.62001</v>
      </c>
      <c r="D81" s="9">
        <f t="shared" si="5"/>
        <v>0.00585585567567567</v>
      </c>
      <c r="E81" s="9">
        <f t="shared" si="4"/>
        <v>6.09366683333333</v>
      </c>
    </row>
    <row r="82" spans="1:5">
      <c r="A82" s="7">
        <v>28.2</v>
      </c>
      <c r="B82" s="7">
        <v>2.3477</v>
      </c>
      <c r="C82" s="7">
        <v>369.65</v>
      </c>
      <c r="D82" s="9">
        <f t="shared" si="5"/>
        <v>0.00593063045045045</v>
      </c>
      <c r="E82" s="9">
        <f t="shared" si="4"/>
        <v>6.16083333333333</v>
      </c>
    </row>
    <row r="83" spans="1:5">
      <c r="A83" s="7">
        <v>28.3</v>
      </c>
      <c r="B83" s="7">
        <v>2.3561</v>
      </c>
      <c r="C83" s="7">
        <v>374.47999</v>
      </c>
      <c r="D83" s="9">
        <f t="shared" si="5"/>
        <v>0.00600630612612613</v>
      </c>
      <c r="E83" s="9">
        <f t="shared" si="4"/>
        <v>6.24133316666667</v>
      </c>
    </row>
    <row r="84" spans="1:5">
      <c r="A84" s="7">
        <v>28.4</v>
      </c>
      <c r="B84" s="7">
        <v>2.3644</v>
      </c>
      <c r="C84" s="7">
        <v>378.51001</v>
      </c>
      <c r="D84" s="9">
        <f t="shared" si="5"/>
        <v>0.0060810809009009</v>
      </c>
      <c r="E84" s="9">
        <f t="shared" si="4"/>
        <v>6.30850016666667</v>
      </c>
    </row>
    <row r="85" spans="1:5">
      <c r="A85" s="7">
        <v>28.5</v>
      </c>
      <c r="B85" s="7">
        <v>2.3727</v>
      </c>
      <c r="C85" s="7">
        <v>383.34</v>
      </c>
      <c r="D85" s="9">
        <f t="shared" si="5"/>
        <v>0.00615585567567568</v>
      </c>
      <c r="E85" s="9">
        <f t="shared" si="4"/>
        <v>6.389</v>
      </c>
    </row>
    <row r="86" spans="1:5">
      <c r="A86" s="7">
        <v>28.6</v>
      </c>
      <c r="B86" s="7">
        <v>2.381</v>
      </c>
      <c r="C86" s="7">
        <v>387.36999</v>
      </c>
      <c r="D86" s="9">
        <f t="shared" si="5"/>
        <v>0.00623063045045045</v>
      </c>
      <c r="E86" s="9">
        <f t="shared" si="4"/>
        <v>6.4561665</v>
      </c>
    </row>
    <row r="87" spans="1:5">
      <c r="A87" s="7">
        <v>28.7</v>
      </c>
      <c r="B87" s="7">
        <v>2.3894</v>
      </c>
      <c r="C87" s="7">
        <v>391.40001</v>
      </c>
      <c r="D87" s="9">
        <f t="shared" si="5"/>
        <v>0.00630630612612613</v>
      </c>
      <c r="E87" s="9">
        <f t="shared" si="4"/>
        <v>6.5233335</v>
      </c>
    </row>
    <row r="88" spans="1:5">
      <c r="A88" s="7">
        <v>28.8</v>
      </c>
      <c r="B88" s="7">
        <v>2.3977</v>
      </c>
      <c r="C88" s="7">
        <v>395.42</v>
      </c>
      <c r="D88" s="9">
        <f t="shared" si="5"/>
        <v>0.0063810809009009</v>
      </c>
      <c r="E88" s="9">
        <f t="shared" si="4"/>
        <v>6.59033333333333</v>
      </c>
    </row>
    <row r="89" spans="1:5">
      <c r="A89" s="7">
        <v>28.9</v>
      </c>
      <c r="B89" s="7">
        <v>2.406</v>
      </c>
      <c r="C89" s="7">
        <v>400.25001</v>
      </c>
      <c r="D89" s="9">
        <f t="shared" si="5"/>
        <v>0.00645585567567568</v>
      </c>
      <c r="E89" s="9">
        <f t="shared" si="4"/>
        <v>6.6708335</v>
      </c>
    </row>
    <row r="90" spans="1:5">
      <c r="A90" s="7">
        <v>29</v>
      </c>
      <c r="B90" s="7">
        <v>2.4144</v>
      </c>
      <c r="C90" s="7">
        <v>404.28001</v>
      </c>
      <c r="D90" s="9">
        <f t="shared" si="5"/>
        <v>0.00653153135135135</v>
      </c>
      <c r="E90" s="9">
        <f t="shared" si="4"/>
        <v>6.73800016666667</v>
      </c>
    </row>
    <row r="91" spans="1:5">
      <c r="A91" s="7">
        <v>29.1</v>
      </c>
      <c r="B91" s="7">
        <v>2.4227</v>
      </c>
      <c r="C91" s="7">
        <v>408.31</v>
      </c>
      <c r="D91" s="9">
        <f t="shared" si="5"/>
        <v>0.00660630612612612</v>
      </c>
      <c r="E91" s="9">
        <f t="shared" si="4"/>
        <v>6.80516666666667</v>
      </c>
    </row>
    <row r="92" spans="1:5">
      <c r="A92" s="7">
        <v>29.2</v>
      </c>
      <c r="B92" s="7">
        <v>2.4311</v>
      </c>
      <c r="C92" s="7">
        <v>412.33999</v>
      </c>
      <c r="D92" s="9">
        <f t="shared" si="5"/>
        <v>0.0066819818018018</v>
      </c>
      <c r="E92" s="9">
        <f t="shared" si="4"/>
        <v>6.87233316666667</v>
      </c>
    </row>
    <row r="93" spans="1:5">
      <c r="A93" s="7">
        <v>29.3</v>
      </c>
      <c r="B93" s="7">
        <v>2.4394</v>
      </c>
      <c r="C93" s="7">
        <v>416.36</v>
      </c>
      <c r="D93" s="9">
        <f t="shared" si="5"/>
        <v>0.00675675657657658</v>
      </c>
      <c r="E93" s="9">
        <f t="shared" si="4"/>
        <v>6.93933333333333</v>
      </c>
    </row>
    <row r="94" spans="1:5">
      <c r="A94" s="7">
        <v>29.4</v>
      </c>
      <c r="B94" s="7">
        <v>2.4477</v>
      </c>
      <c r="C94" s="7">
        <v>420.38999</v>
      </c>
      <c r="D94" s="9">
        <f t="shared" si="5"/>
        <v>0.00683153135135135</v>
      </c>
      <c r="E94" s="9">
        <f t="shared" si="4"/>
        <v>7.00649983333333</v>
      </c>
    </row>
    <row r="95" spans="1:5">
      <c r="A95" s="7">
        <v>29.5</v>
      </c>
      <c r="B95" s="7">
        <v>2.456</v>
      </c>
      <c r="C95" s="7">
        <v>424.41999</v>
      </c>
      <c r="D95" s="9">
        <f t="shared" si="5"/>
        <v>0.00690630612612613</v>
      </c>
      <c r="E95" s="9">
        <f t="shared" si="4"/>
        <v>7.0736665</v>
      </c>
    </row>
    <row r="96" spans="1:5">
      <c r="A96" s="7">
        <v>29.6</v>
      </c>
      <c r="B96" s="7">
        <v>2.4644</v>
      </c>
      <c r="C96" s="7">
        <v>429.25</v>
      </c>
      <c r="D96" s="9">
        <f t="shared" si="5"/>
        <v>0.0069819818018018</v>
      </c>
      <c r="E96" s="9">
        <f t="shared" si="4"/>
        <v>7.15416666666667</v>
      </c>
    </row>
    <row r="97" spans="1:5">
      <c r="A97" s="7">
        <v>29.7</v>
      </c>
      <c r="B97" s="7">
        <v>2.4727</v>
      </c>
      <c r="C97" s="7">
        <v>432.46999</v>
      </c>
      <c r="D97" s="9">
        <f t="shared" si="5"/>
        <v>0.00705675657657658</v>
      </c>
      <c r="E97" s="9">
        <f t="shared" si="4"/>
        <v>7.20783316666667</v>
      </c>
    </row>
    <row r="98" spans="1:5">
      <c r="A98" s="7">
        <v>29.8</v>
      </c>
      <c r="B98" s="7">
        <v>2.481</v>
      </c>
      <c r="C98" s="7">
        <v>437.30001</v>
      </c>
      <c r="D98" s="9">
        <f t="shared" si="5"/>
        <v>0.00713153135135135</v>
      </c>
      <c r="E98" s="9">
        <f t="shared" si="4"/>
        <v>7.2883335</v>
      </c>
    </row>
    <row r="99" spans="1:5">
      <c r="A99" s="7">
        <v>29.9</v>
      </c>
      <c r="B99" s="7">
        <v>2.4894</v>
      </c>
      <c r="C99" s="7">
        <v>440.52</v>
      </c>
      <c r="D99" s="9">
        <f t="shared" si="5"/>
        <v>0.00720720702702702</v>
      </c>
      <c r="E99" s="9">
        <f t="shared" ref="E99:E130" si="6">C99/$L$4</f>
        <v>7.342</v>
      </c>
    </row>
    <row r="100" spans="1:5">
      <c r="A100" s="7">
        <v>30</v>
      </c>
      <c r="B100" s="7">
        <v>2.4977</v>
      </c>
      <c r="C100" s="7">
        <v>444.54999</v>
      </c>
      <c r="D100" s="9">
        <f t="shared" ref="D100:D131" si="7">(B100/$L$3)-0.01521982</f>
        <v>0.0072819818018018</v>
      </c>
      <c r="E100" s="9">
        <f t="shared" si="6"/>
        <v>7.4091665</v>
      </c>
    </row>
    <row r="101" spans="1:5">
      <c r="A101" s="7">
        <v>30.1</v>
      </c>
      <c r="B101" s="7">
        <v>2.5061</v>
      </c>
      <c r="C101" s="7">
        <v>448.58001</v>
      </c>
      <c r="D101" s="9">
        <f t="shared" si="7"/>
        <v>0.00735765747747748</v>
      </c>
      <c r="E101" s="9">
        <f t="shared" si="6"/>
        <v>7.4763335</v>
      </c>
    </row>
    <row r="102" spans="1:5">
      <c r="A102" s="7">
        <v>30.2</v>
      </c>
      <c r="B102" s="7">
        <v>2.5144</v>
      </c>
      <c r="C102" s="7">
        <v>452.6</v>
      </c>
      <c r="D102" s="9">
        <f t="shared" si="7"/>
        <v>0.00743243225225225</v>
      </c>
      <c r="E102" s="9">
        <f t="shared" si="6"/>
        <v>7.54333333333333</v>
      </c>
    </row>
    <row r="103" spans="1:5">
      <c r="A103" s="7">
        <v>30.3</v>
      </c>
      <c r="B103" s="7">
        <v>2.5227</v>
      </c>
      <c r="C103" s="7">
        <v>456.62999</v>
      </c>
      <c r="D103" s="9">
        <f t="shared" si="7"/>
        <v>0.00750720702702703</v>
      </c>
      <c r="E103" s="9">
        <f t="shared" si="6"/>
        <v>7.61049983333333</v>
      </c>
    </row>
    <row r="104" spans="1:5">
      <c r="A104" s="7">
        <v>30.4</v>
      </c>
      <c r="B104" s="7">
        <v>2.531</v>
      </c>
      <c r="C104" s="7">
        <v>459.85001</v>
      </c>
      <c r="D104" s="9">
        <f t="shared" si="7"/>
        <v>0.0075819818018018</v>
      </c>
      <c r="E104" s="9">
        <f t="shared" si="6"/>
        <v>7.66416683333333</v>
      </c>
    </row>
    <row r="105" spans="1:5">
      <c r="A105" s="7">
        <v>30.5</v>
      </c>
      <c r="B105" s="7">
        <v>2.5394</v>
      </c>
      <c r="C105" s="7">
        <v>463.88</v>
      </c>
      <c r="D105" s="9">
        <f t="shared" si="7"/>
        <v>0.00765765747747748</v>
      </c>
      <c r="E105" s="9">
        <f t="shared" si="6"/>
        <v>7.73133333333333</v>
      </c>
    </row>
    <row r="106" spans="1:5">
      <c r="A106" s="7">
        <v>30.6</v>
      </c>
      <c r="B106" s="7">
        <v>2.5477</v>
      </c>
      <c r="C106" s="7">
        <v>467.89999</v>
      </c>
      <c r="D106" s="9">
        <f t="shared" si="7"/>
        <v>0.00773243225225225</v>
      </c>
      <c r="E106" s="9">
        <f t="shared" si="6"/>
        <v>7.79833316666667</v>
      </c>
    </row>
    <row r="107" spans="1:5">
      <c r="A107" s="7">
        <v>30.7</v>
      </c>
      <c r="B107" s="7">
        <v>2.556</v>
      </c>
      <c r="C107" s="7">
        <v>471.92998</v>
      </c>
      <c r="D107" s="9">
        <f t="shared" si="7"/>
        <v>0.00780720702702703</v>
      </c>
      <c r="E107" s="9">
        <f t="shared" si="6"/>
        <v>7.86549966666667</v>
      </c>
    </row>
    <row r="108" spans="1:5">
      <c r="A108" s="7">
        <v>30.8</v>
      </c>
      <c r="B108" s="7">
        <v>2.5644</v>
      </c>
      <c r="C108" s="7">
        <v>475.14997</v>
      </c>
      <c r="D108" s="9">
        <f t="shared" si="7"/>
        <v>0.0078828827027027</v>
      </c>
      <c r="E108" s="9">
        <f t="shared" si="6"/>
        <v>7.91916616666667</v>
      </c>
    </row>
    <row r="109" spans="1:5">
      <c r="A109" s="7">
        <v>30.9</v>
      </c>
      <c r="B109" s="7">
        <v>2.5727</v>
      </c>
      <c r="C109" s="7">
        <v>479.17999</v>
      </c>
      <c r="D109" s="9">
        <f t="shared" si="7"/>
        <v>0.00795765747747748</v>
      </c>
      <c r="E109" s="9">
        <f t="shared" si="6"/>
        <v>7.98633316666667</v>
      </c>
    </row>
    <row r="110" spans="1:5">
      <c r="A110" s="7">
        <v>31</v>
      </c>
      <c r="B110" s="7">
        <v>2.5811</v>
      </c>
      <c r="C110" s="7">
        <v>482.39999</v>
      </c>
      <c r="D110" s="9">
        <f t="shared" si="7"/>
        <v>0.00803333315315316</v>
      </c>
      <c r="E110" s="9">
        <f t="shared" si="6"/>
        <v>8.03999983333333</v>
      </c>
    </row>
    <row r="111" spans="1:5">
      <c r="A111" s="7">
        <v>31.1</v>
      </c>
      <c r="B111" s="7">
        <v>2.5894</v>
      </c>
      <c r="C111" s="7">
        <v>486.43</v>
      </c>
      <c r="D111" s="9">
        <f t="shared" si="7"/>
        <v>0.00810810792792793</v>
      </c>
      <c r="E111" s="9">
        <f t="shared" si="6"/>
        <v>8.10716666666667</v>
      </c>
    </row>
    <row r="112" spans="1:5">
      <c r="A112" s="7">
        <v>31.2</v>
      </c>
      <c r="B112" s="7">
        <v>2.5977</v>
      </c>
      <c r="C112" s="7">
        <v>489.65</v>
      </c>
      <c r="D112" s="9">
        <f t="shared" si="7"/>
        <v>0.0081828827027027</v>
      </c>
      <c r="E112" s="9">
        <f t="shared" si="6"/>
        <v>8.16083333333333</v>
      </c>
    </row>
    <row r="113" spans="1:5">
      <c r="A113" s="7">
        <v>31.3</v>
      </c>
      <c r="B113" s="7">
        <v>2.606</v>
      </c>
      <c r="C113" s="7">
        <v>493.68002</v>
      </c>
      <c r="D113" s="9">
        <f t="shared" si="7"/>
        <v>0.00825765747747748</v>
      </c>
      <c r="E113" s="9">
        <f t="shared" si="6"/>
        <v>8.22800033333333</v>
      </c>
    </row>
    <row r="114" spans="1:5">
      <c r="A114" s="7">
        <v>31.4</v>
      </c>
      <c r="B114" s="7">
        <v>2.6144</v>
      </c>
      <c r="C114" s="7">
        <v>496.90001</v>
      </c>
      <c r="D114" s="9">
        <f t="shared" si="7"/>
        <v>0.00833333315315315</v>
      </c>
      <c r="E114" s="9">
        <f t="shared" si="6"/>
        <v>8.28166683333333</v>
      </c>
    </row>
    <row r="115" spans="1:5">
      <c r="A115" s="7">
        <v>31.5</v>
      </c>
      <c r="B115" s="7">
        <v>2.6227</v>
      </c>
      <c r="C115" s="7">
        <v>500.92002</v>
      </c>
      <c r="D115" s="9">
        <f t="shared" si="7"/>
        <v>0.00840810792792793</v>
      </c>
      <c r="E115" s="9">
        <f t="shared" si="6"/>
        <v>8.348667</v>
      </c>
    </row>
    <row r="116" spans="1:5">
      <c r="A116" s="7">
        <v>31.6</v>
      </c>
      <c r="B116" s="7">
        <v>2.631</v>
      </c>
      <c r="C116" s="7">
        <v>504.15002</v>
      </c>
      <c r="D116" s="9">
        <f t="shared" si="7"/>
        <v>0.0084828827027027</v>
      </c>
      <c r="E116" s="9">
        <f t="shared" si="6"/>
        <v>8.40250033333333</v>
      </c>
    </row>
    <row r="117" spans="1:5">
      <c r="A117" s="7">
        <v>31.7</v>
      </c>
      <c r="B117" s="7">
        <v>2.6394</v>
      </c>
      <c r="C117" s="7">
        <v>507.37001</v>
      </c>
      <c r="D117" s="9">
        <f t="shared" si="7"/>
        <v>0.00855855837837838</v>
      </c>
      <c r="E117" s="9">
        <f t="shared" si="6"/>
        <v>8.45616683333333</v>
      </c>
    </row>
    <row r="118" spans="1:5">
      <c r="A118" s="7">
        <v>31.8</v>
      </c>
      <c r="B118" s="7">
        <v>2.6477</v>
      </c>
      <c r="C118" s="7">
        <v>511.39003</v>
      </c>
      <c r="D118" s="9">
        <f t="shared" si="7"/>
        <v>0.00863333315315315</v>
      </c>
      <c r="E118" s="9">
        <f t="shared" si="6"/>
        <v>8.52316716666667</v>
      </c>
    </row>
    <row r="119" spans="1:5">
      <c r="A119" s="7">
        <v>31.9</v>
      </c>
      <c r="B119" s="7">
        <v>2.6561</v>
      </c>
      <c r="C119" s="7">
        <v>514.61002</v>
      </c>
      <c r="D119" s="9">
        <f t="shared" si="7"/>
        <v>0.00870900882882883</v>
      </c>
      <c r="E119" s="9">
        <f t="shared" si="6"/>
        <v>8.57683366666667</v>
      </c>
    </row>
    <row r="120" spans="1:5">
      <c r="A120" s="7">
        <v>32</v>
      </c>
      <c r="B120" s="7">
        <v>2.6644</v>
      </c>
      <c r="C120" s="7">
        <v>517.84001</v>
      </c>
      <c r="D120" s="9">
        <f t="shared" si="7"/>
        <v>0.0087837836036036</v>
      </c>
      <c r="E120" s="9">
        <f t="shared" si="6"/>
        <v>8.63066683333333</v>
      </c>
    </row>
    <row r="121" spans="1:5">
      <c r="A121" s="7">
        <v>32.1</v>
      </c>
      <c r="B121" s="7">
        <v>2.6727</v>
      </c>
      <c r="C121" s="7">
        <v>521.06</v>
      </c>
      <c r="D121" s="9">
        <f t="shared" si="7"/>
        <v>0.00885855837837838</v>
      </c>
      <c r="E121" s="9">
        <f t="shared" si="6"/>
        <v>8.68433333333333</v>
      </c>
    </row>
    <row r="122" spans="1:5">
      <c r="A122" s="7">
        <v>32.2</v>
      </c>
      <c r="B122" s="7">
        <v>2.681</v>
      </c>
      <c r="C122" s="7">
        <v>524.28</v>
      </c>
      <c r="D122" s="9">
        <f t="shared" si="7"/>
        <v>0.00893333315315315</v>
      </c>
      <c r="E122" s="9">
        <f t="shared" si="6"/>
        <v>8.738</v>
      </c>
    </row>
    <row r="123" spans="1:5">
      <c r="A123" s="7">
        <v>32.3</v>
      </c>
      <c r="B123" s="7">
        <v>2.6894</v>
      </c>
      <c r="C123" s="7">
        <v>527.49999</v>
      </c>
      <c r="D123" s="9">
        <f t="shared" si="7"/>
        <v>0.00900900882882883</v>
      </c>
      <c r="E123" s="9">
        <f t="shared" si="6"/>
        <v>8.7916665</v>
      </c>
    </row>
    <row r="124" spans="1:5">
      <c r="A124" s="7">
        <v>32.4</v>
      </c>
      <c r="B124" s="7">
        <v>2.6977</v>
      </c>
      <c r="C124" s="7">
        <v>530.71998</v>
      </c>
      <c r="D124" s="9">
        <f t="shared" si="7"/>
        <v>0.0090837836036036</v>
      </c>
      <c r="E124" s="9">
        <f t="shared" si="6"/>
        <v>8.845333</v>
      </c>
    </row>
    <row r="125" spans="1:5">
      <c r="A125" s="7">
        <v>32.5</v>
      </c>
      <c r="B125" s="7">
        <v>2.706</v>
      </c>
      <c r="C125" s="7">
        <v>533.93997</v>
      </c>
      <c r="D125" s="9">
        <f t="shared" si="7"/>
        <v>0.00915855837837838</v>
      </c>
      <c r="E125" s="9">
        <f t="shared" si="6"/>
        <v>8.8989995</v>
      </c>
    </row>
    <row r="126" spans="1:5">
      <c r="A126" s="7">
        <v>32.6</v>
      </c>
      <c r="B126" s="7">
        <v>2.7144</v>
      </c>
      <c r="C126" s="7">
        <v>537.16002</v>
      </c>
      <c r="D126" s="9">
        <f t="shared" si="7"/>
        <v>0.00923423405405405</v>
      </c>
      <c r="E126" s="9">
        <f t="shared" si="6"/>
        <v>8.952667</v>
      </c>
    </row>
    <row r="127" spans="1:5">
      <c r="A127" s="7">
        <v>32.7</v>
      </c>
      <c r="B127" s="7">
        <v>2.7227</v>
      </c>
      <c r="C127" s="7">
        <v>540.39001</v>
      </c>
      <c r="D127" s="9">
        <f t="shared" si="7"/>
        <v>0.00930900882882883</v>
      </c>
      <c r="E127" s="9">
        <f t="shared" si="6"/>
        <v>9.00650016666667</v>
      </c>
    </row>
    <row r="128" spans="1:5">
      <c r="A128" s="7">
        <v>32.8</v>
      </c>
      <c r="B128" s="7">
        <v>2.7311</v>
      </c>
      <c r="C128" s="7">
        <v>543.61001</v>
      </c>
      <c r="D128" s="9">
        <f t="shared" si="7"/>
        <v>0.00938468450450451</v>
      </c>
      <c r="E128" s="9">
        <f t="shared" si="6"/>
        <v>9.06016683333333</v>
      </c>
    </row>
    <row r="129" spans="1:5">
      <c r="A129" s="7">
        <v>32.9</v>
      </c>
      <c r="B129" s="7">
        <v>2.7394</v>
      </c>
      <c r="C129" s="7">
        <v>546.83</v>
      </c>
      <c r="D129" s="9">
        <f t="shared" si="7"/>
        <v>0.00945945927927928</v>
      </c>
      <c r="E129" s="9">
        <f t="shared" si="6"/>
        <v>9.11383333333333</v>
      </c>
    </row>
    <row r="130" spans="1:5">
      <c r="A130" s="7">
        <v>33</v>
      </c>
      <c r="B130" s="7">
        <v>2.7477</v>
      </c>
      <c r="C130" s="7">
        <v>549.25002</v>
      </c>
      <c r="D130" s="9">
        <f t="shared" si="7"/>
        <v>0.00953423405405405</v>
      </c>
      <c r="E130" s="9">
        <f t="shared" si="6"/>
        <v>9.154167</v>
      </c>
    </row>
    <row r="131" spans="1:5">
      <c r="A131" s="7">
        <v>33.1</v>
      </c>
      <c r="B131" s="7">
        <v>2.756</v>
      </c>
      <c r="C131" s="7">
        <v>552.47001</v>
      </c>
      <c r="D131" s="9">
        <f t="shared" si="7"/>
        <v>0.00960900882882883</v>
      </c>
      <c r="E131" s="9">
        <f t="shared" ref="E131:E162" si="8">C131/$L$4</f>
        <v>9.2078335</v>
      </c>
    </row>
    <row r="132" spans="1:5">
      <c r="A132" s="7">
        <v>33.2</v>
      </c>
      <c r="B132" s="7">
        <v>2.7644</v>
      </c>
      <c r="C132" s="7">
        <v>554.87998</v>
      </c>
      <c r="D132" s="9">
        <f t="shared" ref="D132:D163" si="9">(B132/$L$3)-0.01521982</f>
        <v>0.0096846845045045</v>
      </c>
      <c r="E132" s="9">
        <f t="shared" si="8"/>
        <v>9.24799966666667</v>
      </c>
    </row>
    <row r="133" spans="1:5">
      <c r="A133" s="7">
        <v>33.3</v>
      </c>
      <c r="B133" s="7">
        <v>2.7727</v>
      </c>
      <c r="C133" s="7">
        <v>558.10003</v>
      </c>
      <c r="D133" s="9">
        <f t="shared" si="9"/>
        <v>0.00975945927927928</v>
      </c>
      <c r="E133" s="9">
        <f t="shared" si="8"/>
        <v>9.30166716666667</v>
      </c>
    </row>
    <row r="134" spans="1:5">
      <c r="A134" s="7">
        <v>33.4</v>
      </c>
      <c r="B134" s="7">
        <v>2.781</v>
      </c>
      <c r="C134" s="7">
        <v>561.33002</v>
      </c>
      <c r="D134" s="9">
        <f t="shared" si="9"/>
        <v>0.00983423405405406</v>
      </c>
      <c r="E134" s="9">
        <f t="shared" si="8"/>
        <v>9.35550033333333</v>
      </c>
    </row>
    <row r="135" spans="1:5">
      <c r="A135" s="7">
        <v>33.5</v>
      </c>
      <c r="B135" s="7">
        <v>2.7894</v>
      </c>
      <c r="C135" s="7">
        <v>563.73999</v>
      </c>
      <c r="D135" s="9">
        <f t="shared" si="9"/>
        <v>0.00990990972972973</v>
      </c>
      <c r="E135" s="9">
        <f t="shared" si="8"/>
        <v>9.3956665</v>
      </c>
    </row>
    <row r="136" spans="1:5">
      <c r="A136" s="7">
        <v>33.6</v>
      </c>
      <c r="B136" s="7">
        <v>2.7977</v>
      </c>
      <c r="C136" s="7">
        <v>566.95998</v>
      </c>
      <c r="D136" s="9">
        <f t="shared" si="9"/>
        <v>0.0099846845045045</v>
      </c>
      <c r="E136" s="9">
        <f t="shared" si="8"/>
        <v>9.449333</v>
      </c>
    </row>
    <row r="137" spans="1:5">
      <c r="A137" s="7">
        <v>33.7</v>
      </c>
      <c r="B137" s="7">
        <v>2.8061</v>
      </c>
      <c r="C137" s="7">
        <v>569.38</v>
      </c>
      <c r="D137" s="9">
        <f t="shared" si="9"/>
        <v>0.0100603601801802</v>
      </c>
      <c r="E137" s="9">
        <f t="shared" si="8"/>
        <v>9.48966666666667</v>
      </c>
    </row>
    <row r="138" spans="1:5">
      <c r="A138" s="7">
        <v>33.8</v>
      </c>
      <c r="B138" s="7">
        <v>2.8144</v>
      </c>
      <c r="C138" s="7">
        <v>571.79002</v>
      </c>
      <c r="D138" s="9">
        <f t="shared" si="9"/>
        <v>0.010135134954955</v>
      </c>
      <c r="E138" s="9">
        <f t="shared" si="8"/>
        <v>9.52983366666667</v>
      </c>
    </row>
    <row r="139" spans="1:5">
      <c r="A139" s="7">
        <v>33.9</v>
      </c>
      <c r="B139" s="7">
        <v>2.8227</v>
      </c>
      <c r="C139" s="7">
        <v>574.20999</v>
      </c>
      <c r="D139" s="9">
        <f t="shared" si="9"/>
        <v>0.0102099097297297</v>
      </c>
      <c r="E139" s="9">
        <f t="shared" si="8"/>
        <v>9.5701665</v>
      </c>
    </row>
    <row r="140" spans="1:5">
      <c r="A140" s="7">
        <v>34</v>
      </c>
      <c r="B140" s="7">
        <v>2.831</v>
      </c>
      <c r="C140" s="7">
        <v>576.63001</v>
      </c>
      <c r="D140" s="9">
        <f t="shared" si="9"/>
        <v>0.0102846845045045</v>
      </c>
      <c r="E140" s="9">
        <f t="shared" si="8"/>
        <v>9.61050016666667</v>
      </c>
    </row>
    <row r="141" spans="1:5">
      <c r="A141" s="7">
        <v>34.1</v>
      </c>
      <c r="B141" s="7">
        <v>2.8394</v>
      </c>
      <c r="C141" s="7">
        <v>579.03998</v>
      </c>
      <c r="D141" s="9">
        <f t="shared" si="9"/>
        <v>0.0103603601801802</v>
      </c>
      <c r="E141" s="9">
        <f t="shared" si="8"/>
        <v>9.65066633333333</v>
      </c>
    </row>
    <row r="142" spans="1:5">
      <c r="A142" s="7">
        <v>34.2</v>
      </c>
      <c r="B142" s="7">
        <v>2.8477</v>
      </c>
      <c r="C142" s="7">
        <v>582.26002</v>
      </c>
      <c r="D142" s="9">
        <f t="shared" si="9"/>
        <v>0.010435134954955</v>
      </c>
      <c r="E142" s="9">
        <f t="shared" si="8"/>
        <v>9.70433366666667</v>
      </c>
    </row>
    <row r="143" spans="1:5">
      <c r="A143" s="7">
        <v>34.3</v>
      </c>
      <c r="B143" s="7">
        <v>2.856</v>
      </c>
      <c r="C143" s="7">
        <v>584.67999</v>
      </c>
      <c r="D143" s="9">
        <f t="shared" si="9"/>
        <v>0.0105099097297297</v>
      </c>
      <c r="E143" s="9">
        <f t="shared" si="8"/>
        <v>9.7446665</v>
      </c>
    </row>
    <row r="144" spans="1:5">
      <c r="A144" s="7">
        <v>34.4</v>
      </c>
      <c r="B144" s="7">
        <v>2.8644</v>
      </c>
      <c r="C144" s="7">
        <v>587.10001</v>
      </c>
      <c r="D144" s="9">
        <f t="shared" si="9"/>
        <v>0.0105855854054054</v>
      </c>
      <c r="E144" s="9">
        <f t="shared" si="8"/>
        <v>9.78500016666667</v>
      </c>
    </row>
    <row r="145" spans="1:5">
      <c r="A145" s="7">
        <v>34.5</v>
      </c>
      <c r="B145" s="7">
        <v>2.8727</v>
      </c>
      <c r="C145" s="7">
        <v>589.50998</v>
      </c>
      <c r="D145" s="9">
        <f t="shared" si="9"/>
        <v>0.0106603601801802</v>
      </c>
      <c r="E145" s="9">
        <f t="shared" si="8"/>
        <v>9.82516633333333</v>
      </c>
    </row>
    <row r="146" spans="1:5">
      <c r="A146" s="7">
        <v>34.6</v>
      </c>
      <c r="B146" s="7">
        <v>2.8811</v>
      </c>
      <c r="C146" s="7">
        <v>591.11997</v>
      </c>
      <c r="D146" s="9">
        <f t="shared" si="9"/>
        <v>0.0107360358558559</v>
      </c>
      <c r="E146" s="9">
        <f t="shared" si="8"/>
        <v>9.8519995</v>
      </c>
    </row>
    <row r="147" spans="1:5">
      <c r="A147" s="7">
        <v>34.7</v>
      </c>
      <c r="B147" s="7">
        <v>2.8894</v>
      </c>
      <c r="C147" s="7">
        <v>593.54</v>
      </c>
      <c r="D147" s="9">
        <f t="shared" si="9"/>
        <v>0.0108108106306306</v>
      </c>
      <c r="E147" s="9">
        <f t="shared" si="8"/>
        <v>9.89233333333333</v>
      </c>
    </row>
    <row r="148" spans="1:5">
      <c r="A148" s="7">
        <v>34.8</v>
      </c>
      <c r="B148" s="7">
        <v>2.8977</v>
      </c>
      <c r="C148" s="7">
        <v>595.96002</v>
      </c>
      <c r="D148" s="9">
        <f t="shared" si="9"/>
        <v>0.0108855854054054</v>
      </c>
      <c r="E148" s="9">
        <f t="shared" si="8"/>
        <v>9.932667</v>
      </c>
    </row>
    <row r="149" spans="1:5">
      <c r="A149" s="7">
        <v>34.9</v>
      </c>
      <c r="B149" s="7">
        <v>2.906</v>
      </c>
      <c r="C149" s="7">
        <v>597.57002</v>
      </c>
      <c r="D149" s="9">
        <f t="shared" si="9"/>
        <v>0.0109603601801802</v>
      </c>
      <c r="E149" s="9">
        <f t="shared" si="8"/>
        <v>9.95950033333333</v>
      </c>
    </row>
    <row r="150" spans="1:5">
      <c r="A150" s="7">
        <v>35</v>
      </c>
      <c r="B150" s="7">
        <v>2.9144</v>
      </c>
      <c r="C150" s="7">
        <v>599.97998</v>
      </c>
      <c r="D150" s="9">
        <f t="shared" si="9"/>
        <v>0.0110360358558559</v>
      </c>
      <c r="E150" s="9">
        <f t="shared" si="8"/>
        <v>9.99966633333333</v>
      </c>
    </row>
    <row r="151" spans="1:5">
      <c r="A151" s="7">
        <v>35.1</v>
      </c>
      <c r="B151" s="7">
        <v>2.9227</v>
      </c>
      <c r="C151" s="7">
        <v>601.58998</v>
      </c>
      <c r="D151" s="9">
        <f t="shared" si="9"/>
        <v>0.0111108106306306</v>
      </c>
      <c r="E151" s="9">
        <f t="shared" si="8"/>
        <v>10.0264996666667</v>
      </c>
    </row>
    <row r="152" spans="1:5">
      <c r="A152" s="7">
        <v>35.2</v>
      </c>
      <c r="B152" s="7">
        <v>2.931</v>
      </c>
      <c r="C152" s="7">
        <v>604.01</v>
      </c>
      <c r="D152" s="9">
        <f t="shared" si="9"/>
        <v>0.0111855854054054</v>
      </c>
      <c r="E152" s="9">
        <f t="shared" si="8"/>
        <v>10.0668333333333</v>
      </c>
    </row>
    <row r="153" spans="1:5">
      <c r="A153" s="7">
        <v>35.3</v>
      </c>
      <c r="B153" s="7">
        <v>2.9394</v>
      </c>
      <c r="C153" s="7">
        <v>605.62</v>
      </c>
      <c r="D153" s="9">
        <f t="shared" si="9"/>
        <v>0.0112612610810811</v>
      </c>
      <c r="E153" s="9">
        <f t="shared" si="8"/>
        <v>10.0936666666667</v>
      </c>
    </row>
    <row r="154" spans="1:5">
      <c r="A154" s="7">
        <v>35.4</v>
      </c>
      <c r="B154" s="7">
        <v>2.9477</v>
      </c>
      <c r="C154" s="7">
        <v>607.22999</v>
      </c>
      <c r="D154" s="9">
        <f t="shared" si="9"/>
        <v>0.0113360358558559</v>
      </c>
      <c r="E154" s="9">
        <f t="shared" si="8"/>
        <v>10.1204998333333</v>
      </c>
    </row>
    <row r="155" spans="1:5">
      <c r="A155" s="7">
        <v>35.5</v>
      </c>
      <c r="B155" s="7">
        <v>2.956</v>
      </c>
      <c r="C155" s="7">
        <v>608.83999</v>
      </c>
      <c r="D155" s="9">
        <f t="shared" si="9"/>
        <v>0.0114108106306306</v>
      </c>
      <c r="E155" s="9">
        <f t="shared" si="8"/>
        <v>10.1473331666667</v>
      </c>
    </row>
    <row r="156" spans="1:5">
      <c r="A156" s="7">
        <v>35.6</v>
      </c>
      <c r="B156" s="7">
        <v>2.9644</v>
      </c>
      <c r="C156" s="7">
        <v>610.44998</v>
      </c>
      <c r="D156" s="9">
        <f t="shared" si="9"/>
        <v>0.0114864863063063</v>
      </c>
      <c r="E156" s="9">
        <f t="shared" si="8"/>
        <v>10.1741663333333</v>
      </c>
    </row>
    <row r="157" spans="1:5">
      <c r="A157" s="7">
        <v>35.7</v>
      </c>
      <c r="B157" s="7">
        <v>2.9727</v>
      </c>
      <c r="C157" s="7">
        <v>612.05998</v>
      </c>
      <c r="D157" s="9">
        <f t="shared" si="9"/>
        <v>0.0115612610810811</v>
      </c>
      <c r="E157" s="9">
        <f t="shared" si="8"/>
        <v>10.2009996666667</v>
      </c>
    </row>
    <row r="158" spans="1:5">
      <c r="A158" s="7">
        <v>35.8</v>
      </c>
      <c r="B158" s="7">
        <v>2.981</v>
      </c>
      <c r="C158" s="7">
        <v>613.66998</v>
      </c>
      <c r="D158" s="9">
        <f t="shared" si="9"/>
        <v>0.0116360358558559</v>
      </c>
      <c r="E158" s="9">
        <f t="shared" si="8"/>
        <v>10.227833</v>
      </c>
    </row>
    <row r="159" spans="1:5">
      <c r="A159" s="7">
        <v>35.9</v>
      </c>
      <c r="B159" s="7">
        <v>2.9894</v>
      </c>
      <c r="C159" s="7">
        <v>614.48</v>
      </c>
      <c r="D159" s="9">
        <f t="shared" si="9"/>
        <v>0.0117117115315315</v>
      </c>
      <c r="E159" s="9">
        <f t="shared" si="8"/>
        <v>10.2413333333333</v>
      </c>
    </row>
    <row r="160" spans="1:5">
      <c r="A160" s="7">
        <v>36</v>
      </c>
      <c r="B160" s="7">
        <v>2.9977</v>
      </c>
      <c r="C160" s="7">
        <v>616.09</v>
      </c>
      <c r="D160" s="9">
        <f t="shared" si="9"/>
        <v>0.0117864863063063</v>
      </c>
      <c r="E160" s="9">
        <f t="shared" si="8"/>
        <v>10.2681666666667</v>
      </c>
    </row>
    <row r="161" spans="1:5">
      <c r="A161" s="7">
        <v>36.1</v>
      </c>
      <c r="B161" s="7">
        <v>3.006</v>
      </c>
      <c r="C161" s="7">
        <v>616.89002</v>
      </c>
      <c r="D161" s="9">
        <f t="shared" si="9"/>
        <v>0.0118612610810811</v>
      </c>
      <c r="E161" s="9">
        <f t="shared" si="8"/>
        <v>10.2815003333333</v>
      </c>
    </row>
    <row r="162" spans="1:5">
      <c r="A162" s="7">
        <v>36.2</v>
      </c>
      <c r="B162" s="7">
        <v>3.0144</v>
      </c>
      <c r="C162" s="7">
        <v>617.7</v>
      </c>
      <c r="D162" s="9">
        <f t="shared" si="9"/>
        <v>0.0119369367567568</v>
      </c>
      <c r="E162" s="9">
        <f t="shared" si="8"/>
        <v>10.295</v>
      </c>
    </row>
    <row r="163" spans="1:5">
      <c r="A163" s="7">
        <v>36.3</v>
      </c>
      <c r="B163" s="7">
        <v>3.0227</v>
      </c>
      <c r="C163" s="7">
        <v>618.51002</v>
      </c>
      <c r="D163" s="9">
        <f t="shared" si="9"/>
        <v>0.0120117115315315</v>
      </c>
      <c r="E163" s="9">
        <f t="shared" ref="E163:E174" si="10">C163/$L$4</f>
        <v>10.3085003333333</v>
      </c>
    </row>
    <row r="164" spans="1:5">
      <c r="A164" s="7">
        <v>36.4</v>
      </c>
      <c r="B164" s="7">
        <v>3.031</v>
      </c>
      <c r="C164" s="7">
        <v>619.30999</v>
      </c>
      <c r="D164" s="9">
        <f t="shared" ref="D164:D174" si="11">(B164/$L$3)-0.01521982</f>
        <v>0.0120864863063063</v>
      </c>
      <c r="E164" s="9">
        <f t="shared" si="10"/>
        <v>10.3218331666667</v>
      </c>
    </row>
    <row r="165" spans="1:5">
      <c r="A165" s="7">
        <v>36.5</v>
      </c>
      <c r="B165" s="7">
        <v>3.0394</v>
      </c>
      <c r="C165" s="7">
        <v>619.30999</v>
      </c>
      <c r="D165" s="9">
        <f t="shared" si="11"/>
        <v>0.012162161981982</v>
      </c>
      <c r="E165" s="9">
        <f t="shared" si="10"/>
        <v>10.3218331666667</v>
      </c>
    </row>
    <row r="166" spans="1:5">
      <c r="A166" s="7">
        <v>36.6</v>
      </c>
      <c r="B166" s="7">
        <v>3.0477</v>
      </c>
      <c r="C166" s="7">
        <v>619.30999</v>
      </c>
      <c r="D166" s="9">
        <f t="shared" si="11"/>
        <v>0.0122369367567568</v>
      </c>
      <c r="E166" s="9">
        <f t="shared" si="10"/>
        <v>10.3218331666667</v>
      </c>
    </row>
    <row r="167" spans="1:5">
      <c r="A167" s="7">
        <v>36.7</v>
      </c>
      <c r="B167" s="7">
        <v>3.056</v>
      </c>
      <c r="C167" s="7">
        <v>619.30999</v>
      </c>
      <c r="D167" s="9">
        <f t="shared" si="11"/>
        <v>0.0123117115315315</v>
      </c>
      <c r="E167" s="9">
        <f t="shared" si="10"/>
        <v>10.3218331666667</v>
      </c>
    </row>
    <row r="168" spans="1:5">
      <c r="A168" s="7">
        <v>36.8</v>
      </c>
      <c r="B168" s="7">
        <v>3.0644</v>
      </c>
      <c r="C168" s="7">
        <v>619.30999</v>
      </c>
      <c r="D168" s="9">
        <f t="shared" si="11"/>
        <v>0.0123873872072072</v>
      </c>
      <c r="E168" s="9">
        <f t="shared" si="10"/>
        <v>10.3218331666667</v>
      </c>
    </row>
    <row r="169" spans="1:5">
      <c r="A169" s="7">
        <v>36.9</v>
      </c>
      <c r="B169" s="7">
        <v>3.0727</v>
      </c>
      <c r="C169" s="7">
        <v>617.7</v>
      </c>
      <c r="D169" s="9">
        <f t="shared" si="11"/>
        <v>0.012462161981982</v>
      </c>
      <c r="E169" s="9">
        <f t="shared" si="10"/>
        <v>10.295</v>
      </c>
    </row>
    <row r="170" spans="1:5">
      <c r="A170" s="7">
        <v>37</v>
      </c>
      <c r="B170" s="7">
        <v>3.081</v>
      </c>
      <c r="C170" s="7">
        <v>616.09</v>
      </c>
      <c r="D170" s="9">
        <f t="shared" si="11"/>
        <v>0.0125369367567568</v>
      </c>
      <c r="E170" s="9">
        <f t="shared" si="10"/>
        <v>10.2681666666667</v>
      </c>
    </row>
    <row r="171" spans="1:5">
      <c r="A171" s="7">
        <v>37.1</v>
      </c>
      <c r="B171" s="7">
        <v>3.0894</v>
      </c>
      <c r="C171" s="7">
        <v>614.48</v>
      </c>
      <c r="D171" s="9">
        <f t="shared" si="11"/>
        <v>0.0126126124324324</v>
      </c>
      <c r="E171" s="9">
        <f t="shared" si="10"/>
        <v>10.2413333333333</v>
      </c>
    </row>
    <row r="172" spans="1:5">
      <c r="A172" s="7">
        <v>37.2</v>
      </c>
      <c r="B172" s="7">
        <v>3.0977</v>
      </c>
      <c r="C172" s="7">
        <v>611.26001</v>
      </c>
      <c r="D172" s="9">
        <f t="shared" si="11"/>
        <v>0.0126873872072072</v>
      </c>
      <c r="E172" s="9">
        <f t="shared" si="10"/>
        <v>10.1876668333333</v>
      </c>
    </row>
    <row r="173" spans="1:5">
      <c r="A173" s="7">
        <v>37.3</v>
      </c>
      <c r="B173" s="7">
        <v>3.106</v>
      </c>
      <c r="C173" s="7">
        <v>606.43002</v>
      </c>
      <c r="D173" s="9">
        <f t="shared" si="11"/>
        <v>0.012762161981982</v>
      </c>
      <c r="E173" s="9">
        <f t="shared" si="10"/>
        <v>10.107167</v>
      </c>
    </row>
    <row r="174" spans="1:5">
      <c r="A174" s="7">
        <v>37.4</v>
      </c>
      <c r="B174" s="7">
        <v>3.1143</v>
      </c>
      <c r="C174" s="7">
        <v>595.14999</v>
      </c>
      <c r="D174" s="9">
        <f t="shared" si="11"/>
        <v>0.0128369367567568</v>
      </c>
      <c r="E174" s="9">
        <f t="shared" si="10"/>
        <v>9.9191665</v>
      </c>
    </row>
  </sheetData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58"/>
  <sheetViews>
    <sheetView workbookViewId="0">
      <selection activeCell="H9" sqref="H9"/>
    </sheetView>
  </sheetViews>
  <sheetFormatPr defaultColWidth="9" defaultRowHeight="14"/>
  <cols>
    <col min="1" max="3" width="8.84166666666667" style="1"/>
    <col min="4" max="4" width="11.1583333333333" style="1" customWidth="1"/>
    <col min="5" max="5" width="6.89166666666667" style="1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2" t="s">
        <v>8</v>
      </c>
      <c r="E2" s="2" t="s">
        <v>18</v>
      </c>
    </row>
    <row r="3" spans="1:13">
      <c r="A3" s="1">
        <v>21.2</v>
      </c>
      <c r="B3" s="1">
        <v>1.7645</v>
      </c>
      <c r="C3" s="1">
        <v>16.1</v>
      </c>
      <c r="D3" s="2">
        <f t="shared" ref="D3:D34" si="0">(B3/$L$3)-0.0158963963963964</f>
        <v>0</v>
      </c>
      <c r="E3" s="2">
        <f t="shared" ref="E3:E34" si="1">C3/$L$4</f>
        <v>0.268333333333333</v>
      </c>
      <c r="K3" t="s">
        <v>10</v>
      </c>
      <c r="L3">
        <v>111</v>
      </c>
      <c r="M3" t="s">
        <v>11</v>
      </c>
    </row>
    <row r="4" spans="1:13">
      <c r="A4" s="1">
        <v>21.3</v>
      </c>
      <c r="B4" s="1">
        <v>1.7729</v>
      </c>
      <c r="C4" s="1">
        <v>19.32</v>
      </c>
      <c r="D4" s="2">
        <f t="shared" si="0"/>
        <v>7.56756756756724e-5</v>
      </c>
      <c r="E4" s="2">
        <f t="shared" si="1"/>
        <v>0.322</v>
      </c>
      <c r="K4" t="s">
        <v>12</v>
      </c>
      <c r="L4">
        <f>10*6</f>
        <v>60</v>
      </c>
      <c r="M4" t="s">
        <v>13</v>
      </c>
    </row>
    <row r="5" spans="1:13">
      <c r="A5" s="1">
        <v>21.4</v>
      </c>
      <c r="B5" s="1">
        <v>1.7813</v>
      </c>
      <c r="C5" s="1">
        <v>24.16</v>
      </c>
      <c r="D5" s="2">
        <f t="shared" si="0"/>
        <v>0.000151351351351352</v>
      </c>
      <c r="E5" s="2">
        <f t="shared" si="1"/>
        <v>0.402666666666667</v>
      </c>
    </row>
    <row r="6" spans="1:13">
      <c r="A6" s="1">
        <v>21.5</v>
      </c>
      <c r="B6" s="1">
        <v>1.7896</v>
      </c>
      <c r="C6" s="1">
        <v>28.99</v>
      </c>
      <c r="D6" s="2">
        <f t="shared" si="0"/>
        <v>0.000226126126126124</v>
      </c>
      <c r="E6" s="2">
        <f t="shared" si="1"/>
        <v>0.483166666666667</v>
      </c>
    </row>
    <row r="7" spans="1:13">
      <c r="A7" s="1">
        <v>21.6</v>
      </c>
      <c r="B7" s="1">
        <v>1.7979</v>
      </c>
      <c r="C7" s="1">
        <v>33.82</v>
      </c>
      <c r="D7" s="2">
        <f t="shared" si="0"/>
        <v>0.000300900900900899</v>
      </c>
      <c r="E7" s="2">
        <f t="shared" si="1"/>
        <v>0.563666666666667</v>
      </c>
    </row>
    <row r="8" spans="1:13">
      <c r="A8" s="1">
        <v>21.7</v>
      </c>
      <c r="B8" s="1">
        <v>1.8062</v>
      </c>
      <c r="C8" s="1">
        <v>39.46</v>
      </c>
      <c r="D8" s="2">
        <f t="shared" si="0"/>
        <v>0.000375675675675674</v>
      </c>
      <c r="E8" s="2">
        <f t="shared" si="1"/>
        <v>0.657666666666667</v>
      </c>
    </row>
    <row r="9" spans="1:13">
      <c r="A9" s="1">
        <v>21.8</v>
      </c>
      <c r="B9" s="1">
        <v>1.8146</v>
      </c>
      <c r="C9" s="1">
        <v>44.29</v>
      </c>
      <c r="D9" s="2">
        <f t="shared" si="0"/>
        <v>0.00045135135135135</v>
      </c>
      <c r="E9" s="2">
        <f t="shared" si="1"/>
        <v>0.738166666666667</v>
      </c>
    </row>
    <row r="10" spans="1:13">
      <c r="A10" s="1">
        <v>21.9</v>
      </c>
      <c r="B10" s="1">
        <v>1.8229</v>
      </c>
      <c r="C10" s="1">
        <v>49.93</v>
      </c>
      <c r="D10" s="2">
        <f t="shared" si="0"/>
        <v>0.000526126126126125</v>
      </c>
      <c r="E10" s="2">
        <f t="shared" si="1"/>
        <v>0.832166666666667</v>
      </c>
    </row>
    <row r="11" spans="1:13">
      <c r="A11" s="1">
        <v>22</v>
      </c>
      <c r="B11" s="1">
        <v>1.8312</v>
      </c>
      <c r="C11" s="1">
        <v>55.56</v>
      </c>
      <c r="D11" s="2">
        <f t="shared" si="0"/>
        <v>0.000600900900900897</v>
      </c>
      <c r="E11" s="2">
        <f t="shared" si="1"/>
        <v>0.926</v>
      </c>
    </row>
    <row r="12" spans="1:13">
      <c r="A12" s="1">
        <v>22.1</v>
      </c>
      <c r="B12" s="1">
        <v>1.8395</v>
      </c>
      <c r="C12" s="1">
        <v>60.4</v>
      </c>
      <c r="D12" s="2">
        <f t="shared" si="0"/>
        <v>0.000675675675675672</v>
      </c>
      <c r="E12" s="2">
        <f t="shared" si="1"/>
        <v>1.00666666666667</v>
      </c>
    </row>
    <row r="13" spans="1:13">
      <c r="A13" s="1">
        <v>22.2</v>
      </c>
      <c r="B13" s="1">
        <v>1.8479</v>
      </c>
      <c r="C13" s="1">
        <v>65.23</v>
      </c>
      <c r="D13" s="2">
        <f t="shared" si="0"/>
        <v>0.000751351351351352</v>
      </c>
      <c r="E13" s="2">
        <f t="shared" si="1"/>
        <v>1.08716666666667</v>
      </c>
    </row>
    <row r="14" spans="1:13">
      <c r="A14" s="1">
        <v>22.3</v>
      </c>
      <c r="B14" s="1">
        <v>1.8563</v>
      </c>
      <c r="C14" s="1">
        <v>70.87</v>
      </c>
      <c r="D14" s="2">
        <f t="shared" si="0"/>
        <v>0.000827027027027024</v>
      </c>
      <c r="E14" s="2">
        <f t="shared" si="1"/>
        <v>1.18116666666667</v>
      </c>
    </row>
    <row r="15" spans="1:13">
      <c r="A15" s="1">
        <v>22.4</v>
      </c>
      <c r="B15" s="1">
        <v>1.8646</v>
      </c>
      <c r="C15" s="1">
        <v>76.5</v>
      </c>
      <c r="D15" s="2">
        <f t="shared" si="0"/>
        <v>0.000901801801801799</v>
      </c>
      <c r="E15" s="2">
        <f t="shared" si="1"/>
        <v>1.275</v>
      </c>
    </row>
    <row r="16" spans="1:13">
      <c r="A16" s="1">
        <v>22.5</v>
      </c>
      <c r="B16" s="1">
        <v>1.8729</v>
      </c>
      <c r="C16" s="1">
        <v>81.34</v>
      </c>
      <c r="D16" s="2">
        <f t="shared" si="0"/>
        <v>0.000976576576576575</v>
      </c>
      <c r="E16" s="2">
        <f t="shared" si="1"/>
        <v>1.35566666666667</v>
      </c>
    </row>
    <row r="17" spans="1:13">
      <c r="A17" s="1">
        <v>22.6</v>
      </c>
      <c r="B17" s="1">
        <v>1.8812</v>
      </c>
      <c r="C17" s="1">
        <v>86.97</v>
      </c>
      <c r="D17" s="2">
        <f t="shared" si="0"/>
        <v>0.00105135135135135</v>
      </c>
      <c r="E17" s="2">
        <f t="shared" si="1"/>
        <v>1.4495</v>
      </c>
    </row>
    <row r="18" spans="1:13">
      <c r="A18" s="1">
        <v>22.7</v>
      </c>
      <c r="B18" s="1">
        <v>1.8896</v>
      </c>
      <c r="C18" s="1">
        <v>91.81</v>
      </c>
      <c r="D18" s="2">
        <f t="shared" si="0"/>
        <v>0.00112702702702703</v>
      </c>
      <c r="E18" s="2">
        <f t="shared" si="1"/>
        <v>1.53016666666667</v>
      </c>
    </row>
    <row r="19" spans="1:13">
      <c r="A19" s="1">
        <v>22.8</v>
      </c>
      <c r="B19" s="1">
        <v>1.8979</v>
      </c>
      <c r="C19" s="1">
        <v>97.44</v>
      </c>
      <c r="D19" s="2">
        <f t="shared" si="0"/>
        <v>0.0012018018018018</v>
      </c>
      <c r="E19" s="2">
        <f t="shared" si="1"/>
        <v>1.624</v>
      </c>
    </row>
    <row r="20" spans="1:13">
      <c r="A20" s="1">
        <v>22.9</v>
      </c>
      <c r="B20" s="1">
        <v>1.9062</v>
      </c>
      <c r="C20" s="1">
        <v>102.27</v>
      </c>
      <c r="D20" s="2">
        <f t="shared" si="0"/>
        <v>0.00127657657657657</v>
      </c>
      <c r="E20" s="2">
        <f t="shared" si="1"/>
        <v>1.7045</v>
      </c>
    </row>
    <row r="21" spans="1:13">
      <c r="A21" s="1">
        <v>23</v>
      </c>
      <c r="B21" s="1">
        <v>1.9145</v>
      </c>
      <c r="C21" s="1">
        <v>107.11</v>
      </c>
      <c r="D21" s="2">
        <f t="shared" si="0"/>
        <v>0.00135135135135135</v>
      </c>
      <c r="E21" s="2">
        <f t="shared" si="1"/>
        <v>1.78516666666667</v>
      </c>
    </row>
    <row r="22" spans="1:13">
      <c r="A22" s="1">
        <v>23.1</v>
      </c>
      <c r="B22" s="1">
        <v>1.9229</v>
      </c>
      <c r="C22" s="1">
        <v>113.55</v>
      </c>
      <c r="D22" s="2">
        <f t="shared" si="0"/>
        <v>0.00142702702702702</v>
      </c>
      <c r="E22" s="2">
        <f t="shared" si="1"/>
        <v>1.8925</v>
      </c>
    </row>
    <row r="23" spans="1:13">
      <c r="A23" s="1">
        <v>23.2</v>
      </c>
      <c r="B23" s="1">
        <v>1.9313</v>
      </c>
      <c r="C23" s="1">
        <v>118.37999</v>
      </c>
      <c r="D23" s="2">
        <f t="shared" si="0"/>
        <v>0.0015027027027027</v>
      </c>
      <c r="E23" s="2">
        <f t="shared" si="1"/>
        <v>1.97299983333333</v>
      </c>
    </row>
    <row r="24" spans="1:13">
      <c r="A24" s="1">
        <v>23.3</v>
      </c>
      <c r="B24" s="1">
        <v>1.9396</v>
      </c>
      <c r="C24" s="1">
        <v>123.21</v>
      </c>
      <c r="D24" s="2">
        <f t="shared" si="0"/>
        <v>0.00157747747747747</v>
      </c>
      <c r="E24" s="2">
        <f t="shared" si="1"/>
        <v>2.0535</v>
      </c>
    </row>
    <row r="25" spans="1:13">
      <c r="A25" s="1">
        <v>23.4</v>
      </c>
      <c r="B25" s="1">
        <v>1.9479</v>
      </c>
      <c r="C25" s="1">
        <v>128.85</v>
      </c>
      <c r="D25" s="2">
        <f t="shared" si="0"/>
        <v>0.00165225225225225</v>
      </c>
      <c r="E25" s="2">
        <f t="shared" si="1"/>
        <v>2.1475</v>
      </c>
    </row>
    <row r="26" spans="1:13">
      <c r="A26" s="1">
        <v>23.5</v>
      </c>
      <c r="B26" s="1">
        <v>1.9562</v>
      </c>
      <c r="C26" s="1">
        <v>134.49</v>
      </c>
      <c r="D26" s="2">
        <f t="shared" si="0"/>
        <v>0.00172702702702703</v>
      </c>
      <c r="E26" s="2">
        <f t="shared" si="1"/>
        <v>2.2415</v>
      </c>
      <c r="J26" s="3" t="s">
        <v>14</v>
      </c>
      <c r="K26" s="3"/>
      <c r="L26" s="4">
        <f>MAX(E:E)</f>
        <v>9.9191665</v>
      </c>
      <c r="M26" s="3" t="s">
        <v>15</v>
      </c>
    </row>
    <row r="27" spans="1:13">
      <c r="A27" s="1">
        <v>23.6</v>
      </c>
      <c r="B27" s="1">
        <v>1.9646</v>
      </c>
      <c r="C27" s="1">
        <v>139.32</v>
      </c>
      <c r="D27" s="2">
        <f t="shared" si="0"/>
        <v>0.0018027027027027</v>
      </c>
      <c r="E27" s="2">
        <f t="shared" si="1"/>
        <v>2.322</v>
      </c>
      <c r="J27" s="3" t="s">
        <v>16</v>
      </c>
      <c r="K27" s="3"/>
      <c r="L27" s="3">
        <v>0.0108108108108108</v>
      </c>
      <c r="M27" s="3" t="s">
        <v>17</v>
      </c>
    </row>
    <row r="28" spans="1:13">
      <c r="A28" s="1">
        <v>23.7</v>
      </c>
      <c r="B28" s="1">
        <v>1.9729</v>
      </c>
      <c r="C28" s="1">
        <v>144.15</v>
      </c>
      <c r="D28" s="2">
        <f t="shared" si="0"/>
        <v>0.00187747747747748</v>
      </c>
      <c r="E28" s="2">
        <f t="shared" si="1"/>
        <v>2.4025</v>
      </c>
    </row>
    <row r="29" spans="1:13">
      <c r="A29" s="1">
        <v>23.8</v>
      </c>
      <c r="B29" s="1">
        <v>1.9812</v>
      </c>
      <c r="C29" s="1">
        <v>149.79</v>
      </c>
      <c r="D29" s="2">
        <f t="shared" si="0"/>
        <v>0.00195225225225225</v>
      </c>
      <c r="E29" s="2">
        <f t="shared" si="1"/>
        <v>2.4965</v>
      </c>
    </row>
    <row r="30" spans="1:13">
      <c r="A30" s="1">
        <v>23.9</v>
      </c>
      <c r="B30" s="1">
        <v>1.9895</v>
      </c>
      <c r="C30" s="1">
        <v>154.62</v>
      </c>
      <c r="D30" s="2">
        <f t="shared" si="0"/>
        <v>0.00202702702702702</v>
      </c>
      <c r="E30" s="2">
        <f t="shared" si="1"/>
        <v>2.577</v>
      </c>
    </row>
    <row r="31" spans="1:13">
      <c r="A31" s="1">
        <v>24</v>
      </c>
      <c r="B31" s="1">
        <v>1.9979</v>
      </c>
      <c r="C31" s="1">
        <v>160.26</v>
      </c>
      <c r="D31" s="2">
        <f t="shared" si="0"/>
        <v>0.0021027027027027</v>
      </c>
      <c r="E31" s="2">
        <f t="shared" si="1"/>
        <v>2.671</v>
      </c>
    </row>
    <row r="32" spans="1:13">
      <c r="A32" s="1">
        <v>24.1</v>
      </c>
      <c r="B32" s="1">
        <v>2.0063</v>
      </c>
      <c r="C32" s="1">
        <v>165.09001</v>
      </c>
      <c r="D32" s="2">
        <f t="shared" si="0"/>
        <v>0.00217837837837838</v>
      </c>
      <c r="E32" s="2">
        <f t="shared" si="1"/>
        <v>2.75150016666667</v>
      </c>
    </row>
    <row r="33" spans="1:5">
      <c r="A33" s="1">
        <v>24.2</v>
      </c>
      <c r="B33" s="1">
        <v>2.0146</v>
      </c>
      <c r="C33" s="1">
        <v>170.72999</v>
      </c>
      <c r="D33" s="2">
        <f t="shared" si="0"/>
        <v>0.00225315315315315</v>
      </c>
      <c r="E33" s="2">
        <f t="shared" si="1"/>
        <v>2.84549983333333</v>
      </c>
    </row>
    <row r="34" spans="1:5">
      <c r="A34" s="1">
        <v>24.3</v>
      </c>
      <c r="B34" s="1">
        <v>2.0229</v>
      </c>
      <c r="C34" s="1">
        <v>175.56</v>
      </c>
      <c r="D34" s="2">
        <f t="shared" si="0"/>
        <v>0.00232792792792793</v>
      </c>
      <c r="E34" s="2">
        <f t="shared" si="1"/>
        <v>2.926</v>
      </c>
    </row>
    <row r="35" spans="1:5">
      <c r="A35" s="1">
        <v>24.4</v>
      </c>
      <c r="B35" s="1">
        <v>2.0312</v>
      </c>
      <c r="C35" s="1">
        <v>181.2</v>
      </c>
      <c r="D35" s="2">
        <f t="shared" ref="D35:D66" si="2">(B35/$L$3)-0.0158963963963964</f>
        <v>0.0024027027027027</v>
      </c>
      <c r="E35" s="2">
        <f t="shared" ref="E35:E66" si="3">C35/$L$4</f>
        <v>3.02</v>
      </c>
    </row>
    <row r="36" spans="1:5">
      <c r="A36" s="1">
        <v>24.5</v>
      </c>
      <c r="B36" s="1">
        <v>2.0396</v>
      </c>
      <c r="C36" s="1">
        <v>186.03</v>
      </c>
      <c r="D36" s="2">
        <f t="shared" si="2"/>
        <v>0.00247837837837838</v>
      </c>
      <c r="E36" s="2">
        <f t="shared" si="3"/>
        <v>3.1005</v>
      </c>
    </row>
    <row r="37" spans="1:5">
      <c r="A37" s="1">
        <v>24.6</v>
      </c>
      <c r="B37" s="1">
        <v>2.0479</v>
      </c>
      <c r="C37" s="1">
        <v>191.67</v>
      </c>
      <c r="D37" s="2">
        <f t="shared" si="2"/>
        <v>0.00255315315315315</v>
      </c>
      <c r="E37" s="2">
        <f t="shared" si="3"/>
        <v>3.1945</v>
      </c>
    </row>
    <row r="38" spans="1:5">
      <c r="A38" s="1">
        <v>24.7</v>
      </c>
      <c r="B38" s="1">
        <v>2.0562</v>
      </c>
      <c r="C38" s="1">
        <v>196.5</v>
      </c>
      <c r="D38" s="2">
        <f t="shared" si="2"/>
        <v>0.00262792792792793</v>
      </c>
      <c r="E38" s="2">
        <f t="shared" si="3"/>
        <v>3.275</v>
      </c>
    </row>
    <row r="39" spans="1:5">
      <c r="A39" s="1">
        <v>24.8</v>
      </c>
      <c r="B39" s="1">
        <v>2.0645</v>
      </c>
      <c r="C39" s="1">
        <v>201.33</v>
      </c>
      <c r="D39" s="2">
        <f t="shared" si="2"/>
        <v>0.0027027027027027</v>
      </c>
      <c r="E39" s="2">
        <f t="shared" si="3"/>
        <v>3.3555</v>
      </c>
    </row>
    <row r="40" spans="1:5">
      <c r="A40" s="1">
        <v>24.9</v>
      </c>
      <c r="B40" s="1">
        <v>2.0729</v>
      </c>
      <c r="C40" s="1">
        <v>206.97</v>
      </c>
      <c r="D40" s="2">
        <f t="shared" si="2"/>
        <v>0.00277837837837838</v>
      </c>
      <c r="E40" s="2">
        <f t="shared" si="3"/>
        <v>3.4495</v>
      </c>
    </row>
    <row r="41" spans="1:5">
      <c r="A41" s="1">
        <v>25</v>
      </c>
      <c r="B41" s="1">
        <v>2.0813</v>
      </c>
      <c r="C41" s="1">
        <v>211.80001</v>
      </c>
      <c r="D41" s="2">
        <f t="shared" si="2"/>
        <v>0.00285405405405405</v>
      </c>
      <c r="E41" s="2">
        <f t="shared" si="3"/>
        <v>3.53000016666667</v>
      </c>
    </row>
    <row r="42" spans="1:5">
      <c r="A42" s="1">
        <v>25.1</v>
      </c>
      <c r="B42" s="1">
        <v>2.0896</v>
      </c>
      <c r="C42" s="1">
        <v>216.62999</v>
      </c>
      <c r="D42" s="2">
        <f t="shared" si="2"/>
        <v>0.00292882882882883</v>
      </c>
      <c r="E42" s="2">
        <f t="shared" si="3"/>
        <v>3.61049983333333</v>
      </c>
    </row>
    <row r="43" spans="1:5">
      <c r="A43" s="1">
        <v>25.2</v>
      </c>
      <c r="B43" s="1">
        <v>2.0979</v>
      </c>
      <c r="C43" s="1">
        <v>221.47</v>
      </c>
      <c r="D43" s="2">
        <f t="shared" si="2"/>
        <v>0.0030036036036036</v>
      </c>
      <c r="E43" s="2">
        <f t="shared" si="3"/>
        <v>3.69116666666667</v>
      </c>
    </row>
    <row r="44" spans="1:5">
      <c r="A44" s="1">
        <v>25.3</v>
      </c>
      <c r="B44" s="1">
        <v>2.1062</v>
      </c>
      <c r="C44" s="1">
        <v>227.1</v>
      </c>
      <c r="D44" s="2">
        <f t="shared" si="2"/>
        <v>0.00307837837837837</v>
      </c>
      <c r="E44" s="2">
        <f t="shared" si="3"/>
        <v>3.785</v>
      </c>
    </row>
    <row r="45" spans="1:5">
      <c r="A45" s="1">
        <v>25.4</v>
      </c>
      <c r="B45" s="1">
        <v>2.1146</v>
      </c>
      <c r="C45" s="1">
        <v>231.94</v>
      </c>
      <c r="D45" s="2">
        <f t="shared" si="2"/>
        <v>0.00315405405405405</v>
      </c>
      <c r="E45" s="2">
        <f t="shared" si="3"/>
        <v>3.86566666666667</v>
      </c>
    </row>
    <row r="46" spans="1:5">
      <c r="A46" s="1">
        <v>25.5</v>
      </c>
      <c r="B46" s="1">
        <v>2.1229</v>
      </c>
      <c r="C46" s="1">
        <v>236.76999</v>
      </c>
      <c r="D46" s="2">
        <f t="shared" si="2"/>
        <v>0.00322882882882883</v>
      </c>
      <c r="E46" s="2">
        <f t="shared" si="3"/>
        <v>3.9461665</v>
      </c>
    </row>
    <row r="47" spans="1:5">
      <c r="A47" s="1">
        <v>25.6</v>
      </c>
      <c r="B47" s="1">
        <v>2.1312</v>
      </c>
      <c r="C47" s="1">
        <v>241.6</v>
      </c>
      <c r="D47" s="2">
        <f t="shared" si="2"/>
        <v>0.0033036036036036</v>
      </c>
      <c r="E47" s="2">
        <f t="shared" si="3"/>
        <v>4.02666666666667</v>
      </c>
    </row>
    <row r="48" spans="1:5">
      <c r="A48" s="1">
        <v>25.7</v>
      </c>
      <c r="B48" s="1">
        <v>2.1395</v>
      </c>
      <c r="C48" s="1">
        <v>246.42999</v>
      </c>
      <c r="D48" s="2">
        <f t="shared" si="2"/>
        <v>0.00337837837837838</v>
      </c>
      <c r="E48" s="2">
        <f t="shared" si="3"/>
        <v>4.1071665</v>
      </c>
    </row>
    <row r="49" spans="1:5">
      <c r="A49" s="1">
        <v>25.8</v>
      </c>
      <c r="B49" s="1">
        <v>2.1479</v>
      </c>
      <c r="C49" s="1">
        <v>252.07001</v>
      </c>
      <c r="D49" s="2">
        <f t="shared" si="2"/>
        <v>0.00345405405405405</v>
      </c>
      <c r="E49" s="2">
        <f t="shared" si="3"/>
        <v>4.20116683333333</v>
      </c>
    </row>
    <row r="50" spans="1:5">
      <c r="A50" s="1">
        <v>25.9</v>
      </c>
      <c r="B50" s="1">
        <v>2.1562</v>
      </c>
      <c r="C50" s="1">
        <v>256.9</v>
      </c>
      <c r="D50" s="2">
        <f t="shared" si="2"/>
        <v>0.00352882882882883</v>
      </c>
      <c r="E50" s="2">
        <f t="shared" si="3"/>
        <v>4.28166666666667</v>
      </c>
    </row>
    <row r="51" spans="1:5">
      <c r="A51" s="1">
        <v>26</v>
      </c>
      <c r="B51" s="1">
        <v>2.1646</v>
      </c>
      <c r="C51" s="1">
        <v>261.73001</v>
      </c>
      <c r="D51" s="2">
        <f t="shared" si="2"/>
        <v>0.0036045045045045</v>
      </c>
      <c r="E51" s="2">
        <f t="shared" si="3"/>
        <v>4.36216683333333</v>
      </c>
    </row>
    <row r="52" spans="1:5">
      <c r="A52" s="1">
        <v>26.1</v>
      </c>
      <c r="B52" s="1">
        <v>2.1729</v>
      </c>
      <c r="C52" s="1">
        <v>266.57</v>
      </c>
      <c r="D52" s="2">
        <f t="shared" si="2"/>
        <v>0.00367927927927928</v>
      </c>
      <c r="E52" s="2">
        <f t="shared" si="3"/>
        <v>4.44283333333333</v>
      </c>
    </row>
    <row r="53" spans="1:5">
      <c r="A53" s="1">
        <v>26.2</v>
      </c>
      <c r="B53" s="1">
        <v>2.1812</v>
      </c>
      <c r="C53" s="1">
        <v>271.39999</v>
      </c>
      <c r="D53" s="2">
        <f t="shared" si="2"/>
        <v>0.00375405405405405</v>
      </c>
      <c r="E53" s="2">
        <f t="shared" si="3"/>
        <v>4.52333316666667</v>
      </c>
    </row>
    <row r="54" spans="1:5">
      <c r="A54" s="1">
        <v>26.3</v>
      </c>
      <c r="B54" s="1">
        <v>2.1896</v>
      </c>
      <c r="C54" s="1">
        <v>277.04</v>
      </c>
      <c r="D54" s="2">
        <f t="shared" si="2"/>
        <v>0.00382972972972973</v>
      </c>
      <c r="E54" s="2">
        <f t="shared" si="3"/>
        <v>4.61733333333333</v>
      </c>
    </row>
    <row r="55" spans="1:5">
      <c r="A55" s="1">
        <v>26.4</v>
      </c>
      <c r="B55" s="1">
        <v>2.1979</v>
      </c>
      <c r="C55" s="1">
        <v>281.05999</v>
      </c>
      <c r="D55" s="2">
        <f t="shared" si="2"/>
        <v>0.0039045045045045</v>
      </c>
      <c r="E55" s="2">
        <f t="shared" si="3"/>
        <v>4.68433316666667</v>
      </c>
    </row>
    <row r="56" spans="1:5">
      <c r="A56" s="1">
        <v>26.5</v>
      </c>
      <c r="B56" s="1">
        <v>2.2062</v>
      </c>
      <c r="C56" s="1">
        <v>285.89001</v>
      </c>
      <c r="D56" s="2">
        <f t="shared" si="2"/>
        <v>0.00397927927927928</v>
      </c>
      <c r="E56" s="2">
        <f t="shared" si="3"/>
        <v>4.7648335</v>
      </c>
    </row>
    <row r="57" spans="1:5">
      <c r="A57" s="1">
        <v>26.6</v>
      </c>
      <c r="B57" s="1">
        <v>2.2145</v>
      </c>
      <c r="C57" s="1">
        <v>290.73</v>
      </c>
      <c r="D57" s="2">
        <f t="shared" si="2"/>
        <v>0.00405405405405405</v>
      </c>
      <c r="E57" s="2">
        <f t="shared" si="3"/>
        <v>4.8455</v>
      </c>
    </row>
    <row r="58" spans="1:5">
      <c r="A58" s="1">
        <v>26.7</v>
      </c>
      <c r="B58" s="1">
        <v>2.2229</v>
      </c>
      <c r="C58" s="1">
        <v>296.36001</v>
      </c>
      <c r="D58" s="2">
        <f t="shared" si="2"/>
        <v>0.00412972972972973</v>
      </c>
      <c r="E58" s="2">
        <f t="shared" si="3"/>
        <v>4.9393335</v>
      </c>
    </row>
    <row r="59" spans="1:5">
      <c r="A59" s="1">
        <v>26.8</v>
      </c>
      <c r="B59" s="1">
        <v>2.2312</v>
      </c>
      <c r="C59" s="1">
        <v>300.39</v>
      </c>
      <c r="D59" s="2">
        <f t="shared" si="2"/>
        <v>0.0042045045045045</v>
      </c>
      <c r="E59" s="2">
        <f t="shared" si="3"/>
        <v>5.0065</v>
      </c>
    </row>
    <row r="60" spans="1:5">
      <c r="A60" s="1">
        <v>26.9</v>
      </c>
      <c r="B60" s="1">
        <v>2.2396</v>
      </c>
      <c r="C60" s="1">
        <v>306.02999</v>
      </c>
      <c r="D60" s="2">
        <f t="shared" si="2"/>
        <v>0.00428018018018018</v>
      </c>
      <c r="E60" s="2">
        <f t="shared" si="3"/>
        <v>5.10049983333333</v>
      </c>
    </row>
    <row r="61" spans="1:5">
      <c r="A61" s="1">
        <v>27</v>
      </c>
      <c r="B61" s="1">
        <v>2.2479</v>
      </c>
      <c r="C61" s="1">
        <v>310.06001</v>
      </c>
      <c r="D61" s="2">
        <f t="shared" si="2"/>
        <v>0.00435495495495495</v>
      </c>
      <c r="E61" s="2">
        <f t="shared" si="3"/>
        <v>5.16766683333333</v>
      </c>
    </row>
    <row r="62" spans="1:5">
      <c r="A62" s="1">
        <v>27.1</v>
      </c>
      <c r="B62" s="1">
        <v>2.2562</v>
      </c>
      <c r="C62" s="1">
        <v>314.89</v>
      </c>
      <c r="D62" s="2">
        <f t="shared" si="2"/>
        <v>0.00442972972972973</v>
      </c>
      <c r="E62" s="2">
        <f t="shared" si="3"/>
        <v>5.24816666666667</v>
      </c>
    </row>
    <row r="63" spans="1:5">
      <c r="A63" s="1">
        <v>27.2</v>
      </c>
      <c r="B63" s="1">
        <v>2.2646</v>
      </c>
      <c r="C63" s="1">
        <v>319.72001</v>
      </c>
      <c r="D63" s="2">
        <f t="shared" si="2"/>
        <v>0.0045054054054054</v>
      </c>
      <c r="E63" s="2">
        <f t="shared" si="3"/>
        <v>5.32866683333333</v>
      </c>
    </row>
    <row r="64" spans="1:5">
      <c r="A64" s="1">
        <v>27.3</v>
      </c>
      <c r="B64" s="1">
        <v>2.2729</v>
      </c>
      <c r="C64" s="1">
        <v>324.55</v>
      </c>
      <c r="D64" s="2">
        <f t="shared" si="2"/>
        <v>0.00458018018018018</v>
      </c>
      <c r="E64" s="2">
        <f t="shared" si="3"/>
        <v>5.40916666666667</v>
      </c>
    </row>
    <row r="65" spans="1:5">
      <c r="A65" s="1">
        <v>27.4</v>
      </c>
      <c r="B65" s="1">
        <v>2.2812</v>
      </c>
      <c r="C65" s="1">
        <v>329.37999</v>
      </c>
      <c r="D65" s="2">
        <f t="shared" si="2"/>
        <v>0.00465495495495495</v>
      </c>
      <c r="E65" s="2">
        <f t="shared" si="3"/>
        <v>5.4896665</v>
      </c>
    </row>
    <row r="66" spans="1:5">
      <c r="A66" s="1">
        <v>27.5</v>
      </c>
      <c r="B66" s="1">
        <v>2.2895</v>
      </c>
      <c r="C66" s="1">
        <v>334.22001</v>
      </c>
      <c r="D66" s="2">
        <f t="shared" si="2"/>
        <v>0.00472972972972973</v>
      </c>
      <c r="E66" s="2">
        <f t="shared" si="3"/>
        <v>5.5703335</v>
      </c>
    </row>
    <row r="67" spans="1:5">
      <c r="A67" s="1">
        <v>27.6</v>
      </c>
      <c r="B67" s="1">
        <v>2.2979</v>
      </c>
      <c r="C67" s="1">
        <v>338.24</v>
      </c>
      <c r="D67" s="2">
        <f t="shared" ref="D67:D98" si="4">(B67/$L$3)-0.0158963963963964</f>
        <v>0.0048054054054054</v>
      </c>
      <c r="E67" s="2">
        <f t="shared" ref="E67:E98" si="5">C67/$L$4</f>
        <v>5.63733333333333</v>
      </c>
    </row>
    <row r="68" spans="1:5">
      <c r="A68" s="1">
        <v>27.7</v>
      </c>
      <c r="B68" s="1">
        <v>2.3062</v>
      </c>
      <c r="C68" s="1">
        <v>343.07001</v>
      </c>
      <c r="D68" s="2">
        <f t="shared" si="4"/>
        <v>0.00488018018018018</v>
      </c>
      <c r="E68" s="2">
        <f t="shared" si="5"/>
        <v>5.7178335</v>
      </c>
    </row>
    <row r="69" spans="1:5">
      <c r="A69" s="1">
        <v>27.8</v>
      </c>
      <c r="B69" s="1">
        <v>2.3145</v>
      </c>
      <c r="C69" s="1">
        <v>347.91</v>
      </c>
      <c r="D69" s="2">
        <f t="shared" si="4"/>
        <v>0.00495495495495495</v>
      </c>
      <c r="E69" s="2">
        <f t="shared" si="5"/>
        <v>5.7985</v>
      </c>
    </row>
    <row r="70" spans="1:5">
      <c r="A70" s="1">
        <v>27.9</v>
      </c>
      <c r="B70" s="1">
        <v>2.3229</v>
      </c>
      <c r="C70" s="1">
        <v>351.92999</v>
      </c>
      <c r="D70" s="2">
        <f t="shared" si="4"/>
        <v>0.00503063063063063</v>
      </c>
      <c r="E70" s="2">
        <f t="shared" si="5"/>
        <v>5.86549983333333</v>
      </c>
    </row>
    <row r="71" spans="1:5">
      <c r="A71" s="1">
        <v>28</v>
      </c>
      <c r="B71" s="1">
        <v>2.3312</v>
      </c>
      <c r="C71" s="1">
        <v>356.77001</v>
      </c>
      <c r="D71" s="2">
        <f t="shared" si="4"/>
        <v>0.0051054054054054</v>
      </c>
      <c r="E71" s="2">
        <f t="shared" si="5"/>
        <v>5.94616683333333</v>
      </c>
    </row>
    <row r="72" spans="1:5">
      <c r="A72" s="1">
        <v>28.1</v>
      </c>
      <c r="B72" s="1">
        <v>2.3396</v>
      </c>
      <c r="C72" s="1">
        <v>361.6</v>
      </c>
      <c r="D72" s="2">
        <f t="shared" si="4"/>
        <v>0.00518108108108108</v>
      </c>
      <c r="E72" s="2">
        <f t="shared" si="5"/>
        <v>6.02666666666667</v>
      </c>
    </row>
    <row r="73" spans="1:5">
      <c r="A73" s="1">
        <v>28.2</v>
      </c>
      <c r="B73" s="1">
        <v>2.3479</v>
      </c>
      <c r="C73" s="1">
        <v>365.62001</v>
      </c>
      <c r="D73" s="2">
        <f t="shared" si="4"/>
        <v>0.00525585585585586</v>
      </c>
      <c r="E73" s="2">
        <f t="shared" si="5"/>
        <v>6.09366683333333</v>
      </c>
    </row>
    <row r="74" spans="1:5">
      <c r="A74" s="1">
        <v>28.3</v>
      </c>
      <c r="B74" s="1">
        <v>2.3562</v>
      </c>
      <c r="C74" s="1">
        <v>370.46</v>
      </c>
      <c r="D74" s="2">
        <f t="shared" si="4"/>
        <v>0.00533063063063063</v>
      </c>
      <c r="E74" s="2">
        <f t="shared" si="5"/>
        <v>6.17433333333333</v>
      </c>
    </row>
    <row r="75" spans="1:5">
      <c r="A75" s="1">
        <v>28.4</v>
      </c>
      <c r="B75" s="1">
        <v>2.3645</v>
      </c>
      <c r="C75" s="1">
        <v>374.47999</v>
      </c>
      <c r="D75" s="2">
        <f t="shared" si="4"/>
        <v>0.0054054054054054</v>
      </c>
      <c r="E75" s="2">
        <f t="shared" si="5"/>
        <v>6.24133316666667</v>
      </c>
    </row>
    <row r="76" spans="1:5">
      <c r="A76" s="1">
        <v>28.5</v>
      </c>
      <c r="B76" s="1">
        <v>2.3729</v>
      </c>
      <c r="C76" s="1">
        <v>379.32001</v>
      </c>
      <c r="D76" s="2">
        <f t="shared" si="4"/>
        <v>0.00548108108108108</v>
      </c>
      <c r="E76" s="2">
        <f t="shared" si="5"/>
        <v>6.32200016666667</v>
      </c>
    </row>
    <row r="77" spans="1:5">
      <c r="A77" s="1">
        <v>28.6</v>
      </c>
      <c r="B77" s="1">
        <v>2.3812</v>
      </c>
      <c r="C77" s="1">
        <v>383.34</v>
      </c>
      <c r="D77" s="2">
        <f t="shared" si="4"/>
        <v>0.00555585585585586</v>
      </c>
      <c r="E77" s="2">
        <f t="shared" si="5"/>
        <v>6.389</v>
      </c>
    </row>
    <row r="78" spans="1:5">
      <c r="A78" s="1">
        <v>28.7</v>
      </c>
      <c r="B78" s="1">
        <v>2.3895</v>
      </c>
      <c r="C78" s="1">
        <v>388.16999</v>
      </c>
      <c r="D78" s="2">
        <f t="shared" si="4"/>
        <v>0.00563063063063063</v>
      </c>
      <c r="E78" s="2">
        <f t="shared" si="5"/>
        <v>6.46949983333333</v>
      </c>
    </row>
    <row r="79" spans="1:5">
      <c r="A79" s="1">
        <v>28.8</v>
      </c>
      <c r="B79" s="1">
        <v>2.3979</v>
      </c>
      <c r="C79" s="1">
        <v>392.20001</v>
      </c>
      <c r="D79" s="2">
        <f t="shared" si="4"/>
        <v>0.0057063063063063</v>
      </c>
      <c r="E79" s="2">
        <f t="shared" si="5"/>
        <v>6.53666683333333</v>
      </c>
    </row>
    <row r="80" spans="1:5">
      <c r="A80" s="1">
        <v>28.9</v>
      </c>
      <c r="B80" s="1">
        <v>2.4062</v>
      </c>
      <c r="C80" s="1">
        <v>397.02999</v>
      </c>
      <c r="D80" s="2">
        <f t="shared" si="4"/>
        <v>0.00578108108108108</v>
      </c>
      <c r="E80" s="2">
        <f t="shared" si="5"/>
        <v>6.6171665</v>
      </c>
    </row>
    <row r="81" spans="1:5">
      <c r="A81" s="1">
        <v>29</v>
      </c>
      <c r="B81" s="1">
        <v>2.4146</v>
      </c>
      <c r="C81" s="1">
        <v>401.06001</v>
      </c>
      <c r="D81" s="2">
        <f t="shared" si="4"/>
        <v>0.00585675675675676</v>
      </c>
      <c r="E81" s="2">
        <f t="shared" si="5"/>
        <v>6.6843335</v>
      </c>
    </row>
    <row r="82" spans="1:5">
      <c r="A82" s="1">
        <v>29.1</v>
      </c>
      <c r="B82" s="1">
        <v>2.4229</v>
      </c>
      <c r="C82" s="1">
        <v>405.89</v>
      </c>
      <c r="D82" s="2">
        <f t="shared" si="4"/>
        <v>0.00593153153153153</v>
      </c>
      <c r="E82" s="2">
        <f t="shared" si="5"/>
        <v>6.76483333333333</v>
      </c>
    </row>
    <row r="83" spans="1:5">
      <c r="A83" s="1">
        <v>29.2</v>
      </c>
      <c r="B83" s="1">
        <v>2.4312</v>
      </c>
      <c r="C83" s="1">
        <v>409.91999</v>
      </c>
      <c r="D83" s="2">
        <f t="shared" si="4"/>
        <v>0.00600630630630631</v>
      </c>
      <c r="E83" s="2">
        <f t="shared" si="5"/>
        <v>6.83199983333333</v>
      </c>
    </row>
    <row r="84" spans="1:5">
      <c r="A84" s="1">
        <v>29.3</v>
      </c>
      <c r="B84" s="1">
        <v>2.4395</v>
      </c>
      <c r="C84" s="1">
        <v>413.95001</v>
      </c>
      <c r="D84" s="2">
        <f t="shared" si="4"/>
        <v>0.00608108108108108</v>
      </c>
      <c r="E84" s="2">
        <f t="shared" si="5"/>
        <v>6.89916683333333</v>
      </c>
    </row>
    <row r="85" spans="1:5">
      <c r="A85" s="1">
        <v>29.4</v>
      </c>
      <c r="B85" s="1">
        <v>2.4479</v>
      </c>
      <c r="C85" s="1">
        <v>418.78</v>
      </c>
      <c r="D85" s="2">
        <f t="shared" si="4"/>
        <v>0.00615675675675676</v>
      </c>
      <c r="E85" s="2">
        <f t="shared" si="5"/>
        <v>6.97966666666667</v>
      </c>
    </row>
    <row r="86" spans="1:5">
      <c r="A86" s="1">
        <v>29.5</v>
      </c>
      <c r="B86" s="1">
        <v>2.4562</v>
      </c>
      <c r="C86" s="1">
        <v>422.79999</v>
      </c>
      <c r="D86" s="2">
        <f t="shared" si="4"/>
        <v>0.00623153153153153</v>
      </c>
      <c r="E86" s="2">
        <f t="shared" si="5"/>
        <v>7.0466665</v>
      </c>
    </row>
    <row r="87" spans="1:5">
      <c r="A87" s="1">
        <v>29.6</v>
      </c>
      <c r="B87" s="1">
        <v>2.4645</v>
      </c>
      <c r="C87" s="1">
        <v>426.83001</v>
      </c>
      <c r="D87" s="2">
        <f t="shared" si="4"/>
        <v>0.0063063063063063</v>
      </c>
      <c r="E87" s="2">
        <f t="shared" si="5"/>
        <v>7.1138335</v>
      </c>
    </row>
    <row r="88" spans="1:5">
      <c r="A88" s="1">
        <v>29.7</v>
      </c>
      <c r="B88" s="1">
        <v>2.4729</v>
      </c>
      <c r="C88" s="1">
        <v>430.86</v>
      </c>
      <c r="D88" s="2">
        <f t="shared" si="4"/>
        <v>0.00638198198198198</v>
      </c>
      <c r="E88" s="2">
        <f t="shared" si="5"/>
        <v>7.181</v>
      </c>
    </row>
    <row r="89" spans="1:5">
      <c r="A89" s="1">
        <v>29.8</v>
      </c>
      <c r="B89" s="1">
        <v>2.4812</v>
      </c>
      <c r="C89" s="1">
        <v>434.88999</v>
      </c>
      <c r="D89" s="2">
        <f t="shared" si="4"/>
        <v>0.00645675675675675</v>
      </c>
      <c r="E89" s="2">
        <f t="shared" si="5"/>
        <v>7.2481665</v>
      </c>
    </row>
    <row r="90" spans="1:5">
      <c r="A90" s="1">
        <v>29.9</v>
      </c>
      <c r="B90" s="1">
        <v>2.4896</v>
      </c>
      <c r="C90" s="1">
        <v>438.91001</v>
      </c>
      <c r="D90" s="2">
        <f t="shared" si="4"/>
        <v>0.00653243243243243</v>
      </c>
      <c r="E90" s="2">
        <f t="shared" si="5"/>
        <v>7.31516683333333</v>
      </c>
    </row>
    <row r="91" spans="1:5">
      <c r="A91" s="1">
        <v>30</v>
      </c>
      <c r="B91" s="1">
        <v>2.4979</v>
      </c>
      <c r="C91" s="1">
        <v>443.73999</v>
      </c>
      <c r="D91" s="2">
        <f t="shared" si="4"/>
        <v>0.00660720720720721</v>
      </c>
      <c r="E91" s="2">
        <f t="shared" si="5"/>
        <v>7.3956665</v>
      </c>
    </row>
    <row r="92" spans="1:5">
      <c r="A92" s="1">
        <v>30.1</v>
      </c>
      <c r="B92" s="1">
        <v>2.5062</v>
      </c>
      <c r="C92" s="1">
        <v>446.96999</v>
      </c>
      <c r="D92" s="2">
        <f t="shared" si="4"/>
        <v>0.00668198198198198</v>
      </c>
      <c r="E92" s="2">
        <f t="shared" si="5"/>
        <v>7.44949983333333</v>
      </c>
    </row>
    <row r="93" spans="1:5">
      <c r="A93" s="1">
        <v>30.2</v>
      </c>
      <c r="B93" s="1">
        <v>2.5145</v>
      </c>
      <c r="C93" s="1">
        <v>451.8</v>
      </c>
      <c r="D93" s="2">
        <f t="shared" si="4"/>
        <v>0.00675675675675675</v>
      </c>
      <c r="E93" s="2">
        <f t="shared" si="5"/>
        <v>7.53</v>
      </c>
    </row>
    <row r="94" spans="1:5">
      <c r="A94" s="1">
        <v>30.3</v>
      </c>
      <c r="B94" s="1">
        <v>2.5229</v>
      </c>
      <c r="C94" s="1">
        <v>455.81999</v>
      </c>
      <c r="D94" s="2">
        <f t="shared" si="4"/>
        <v>0.00683243243243243</v>
      </c>
      <c r="E94" s="2">
        <f t="shared" si="5"/>
        <v>7.59699983333333</v>
      </c>
    </row>
    <row r="95" spans="1:5">
      <c r="A95" s="1">
        <v>30.4</v>
      </c>
      <c r="B95" s="1">
        <v>2.5312</v>
      </c>
      <c r="C95" s="1">
        <v>459.85001</v>
      </c>
      <c r="D95" s="2">
        <f t="shared" si="4"/>
        <v>0.0069072072072072</v>
      </c>
      <c r="E95" s="2">
        <f t="shared" si="5"/>
        <v>7.66416683333333</v>
      </c>
    </row>
    <row r="96" spans="1:5">
      <c r="A96" s="1">
        <v>30.5</v>
      </c>
      <c r="B96" s="1">
        <v>2.5395</v>
      </c>
      <c r="C96" s="1">
        <v>463.88</v>
      </c>
      <c r="D96" s="2">
        <f t="shared" si="4"/>
        <v>0.00698198198198198</v>
      </c>
      <c r="E96" s="2">
        <f t="shared" si="5"/>
        <v>7.73133333333333</v>
      </c>
    </row>
    <row r="97" spans="1:5">
      <c r="A97" s="1">
        <v>30.6</v>
      </c>
      <c r="B97" s="1">
        <v>2.5479</v>
      </c>
      <c r="C97" s="1">
        <v>467.89999</v>
      </c>
      <c r="D97" s="2">
        <f t="shared" si="4"/>
        <v>0.00705765765765765</v>
      </c>
      <c r="E97" s="2">
        <f t="shared" si="5"/>
        <v>7.79833316666667</v>
      </c>
    </row>
    <row r="98" spans="1:5">
      <c r="A98" s="1">
        <v>30.7</v>
      </c>
      <c r="B98" s="1">
        <v>2.5562</v>
      </c>
      <c r="C98" s="1">
        <v>471.13001</v>
      </c>
      <c r="D98" s="2">
        <f t="shared" si="4"/>
        <v>0.00713243243243243</v>
      </c>
      <c r="E98" s="2">
        <f t="shared" si="5"/>
        <v>7.85216683333333</v>
      </c>
    </row>
    <row r="99" spans="1:5">
      <c r="A99" s="1">
        <v>30.8</v>
      </c>
      <c r="B99" s="1">
        <v>2.5646</v>
      </c>
      <c r="C99" s="1">
        <v>475.14997</v>
      </c>
      <c r="D99" s="2">
        <f t="shared" ref="D99:D130" si="6">(B99/$L$3)-0.0158963963963964</f>
        <v>0.00720810810810811</v>
      </c>
      <c r="E99" s="2">
        <f t="shared" ref="E99:E130" si="7">C99/$L$4</f>
        <v>7.91916616666667</v>
      </c>
    </row>
    <row r="100" spans="1:5">
      <c r="A100" s="1">
        <v>30.9</v>
      </c>
      <c r="B100" s="1">
        <v>2.5729</v>
      </c>
      <c r="C100" s="1">
        <v>479.17999</v>
      </c>
      <c r="D100" s="2">
        <f t="shared" si="6"/>
        <v>0.00728288288288288</v>
      </c>
      <c r="E100" s="2">
        <f t="shared" si="7"/>
        <v>7.98633316666667</v>
      </c>
    </row>
    <row r="101" spans="1:5">
      <c r="A101" s="1">
        <v>31</v>
      </c>
      <c r="B101" s="1">
        <v>2.5812</v>
      </c>
      <c r="C101" s="1">
        <v>483.21001</v>
      </c>
      <c r="D101" s="2">
        <f t="shared" si="6"/>
        <v>0.00735765765765765</v>
      </c>
      <c r="E101" s="2">
        <f t="shared" si="7"/>
        <v>8.05350016666667</v>
      </c>
    </row>
    <row r="102" spans="1:5">
      <c r="A102" s="1">
        <v>31.1</v>
      </c>
      <c r="B102" s="1">
        <v>2.5895</v>
      </c>
      <c r="C102" s="1">
        <v>486.43</v>
      </c>
      <c r="D102" s="2">
        <f t="shared" si="6"/>
        <v>0.00743243243243243</v>
      </c>
      <c r="E102" s="2">
        <f t="shared" si="7"/>
        <v>8.10716666666667</v>
      </c>
    </row>
    <row r="103" spans="1:5">
      <c r="A103" s="1">
        <v>31.2</v>
      </c>
      <c r="B103" s="1">
        <v>2.5979</v>
      </c>
      <c r="C103" s="1">
        <v>490.45002</v>
      </c>
      <c r="D103" s="2">
        <f t="shared" si="6"/>
        <v>0.00750810810810811</v>
      </c>
      <c r="E103" s="2">
        <f t="shared" si="7"/>
        <v>8.174167</v>
      </c>
    </row>
    <row r="104" spans="1:5">
      <c r="A104" s="1">
        <v>31.3</v>
      </c>
      <c r="B104" s="1">
        <v>2.6062</v>
      </c>
      <c r="C104" s="1">
        <v>494.47998</v>
      </c>
      <c r="D104" s="2">
        <f t="shared" si="6"/>
        <v>0.00758288288288288</v>
      </c>
      <c r="E104" s="2">
        <f t="shared" si="7"/>
        <v>8.241333</v>
      </c>
    </row>
    <row r="105" spans="1:5">
      <c r="A105" s="1">
        <v>31.4</v>
      </c>
      <c r="B105" s="1">
        <v>2.6145</v>
      </c>
      <c r="C105" s="1">
        <v>497.69998</v>
      </c>
      <c r="D105" s="2">
        <f t="shared" si="6"/>
        <v>0.00765765765765766</v>
      </c>
      <c r="E105" s="2">
        <f t="shared" si="7"/>
        <v>8.29499966666667</v>
      </c>
    </row>
    <row r="106" spans="1:5">
      <c r="A106" s="1">
        <v>31.5</v>
      </c>
      <c r="B106" s="1">
        <v>2.6229</v>
      </c>
      <c r="C106" s="1">
        <v>501.73</v>
      </c>
      <c r="D106" s="2">
        <f t="shared" si="6"/>
        <v>0.00773333333333333</v>
      </c>
      <c r="E106" s="2">
        <f t="shared" si="7"/>
        <v>8.36216666666667</v>
      </c>
    </row>
    <row r="107" spans="1:5">
      <c r="A107" s="1">
        <v>31.6</v>
      </c>
      <c r="B107" s="1">
        <v>2.6312</v>
      </c>
      <c r="C107" s="1">
        <v>504.94999</v>
      </c>
      <c r="D107" s="2">
        <f t="shared" si="6"/>
        <v>0.00780810810810811</v>
      </c>
      <c r="E107" s="2">
        <f t="shared" si="7"/>
        <v>8.41583316666667</v>
      </c>
    </row>
    <row r="108" spans="1:5">
      <c r="A108" s="1">
        <v>31.7</v>
      </c>
      <c r="B108" s="1">
        <v>2.6396</v>
      </c>
      <c r="C108" s="1">
        <v>508.98001</v>
      </c>
      <c r="D108" s="2">
        <f t="shared" si="6"/>
        <v>0.00788378378378378</v>
      </c>
      <c r="E108" s="2">
        <f t="shared" si="7"/>
        <v>8.48300016666667</v>
      </c>
    </row>
    <row r="109" spans="1:5">
      <c r="A109" s="1">
        <v>31.8</v>
      </c>
      <c r="B109" s="1">
        <v>2.6479</v>
      </c>
      <c r="C109" s="1">
        <v>512.2</v>
      </c>
      <c r="D109" s="2">
        <f t="shared" si="6"/>
        <v>0.00795855855855855</v>
      </c>
      <c r="E109" s="2">
        <f t="shared" si="7"/>
        <v>8.53666666666667</v>
      </c>
    </row>
    <row r="110" spans="1:5">
      <c r="A110" s="1">
        <v>31.9</v>
      </c>
      <c r="B110" s="1">
        <v>2.6562</v>
      </c>
      <c r="C110" s="1">
        <v>515.41999</v>
      </c>
      <c r="D110" s="2">
        <f t="shared" si="6"/>
        <v>0.00803333333333333</v>
      </c>
      <c r="E110" s="2">
        <f t="shared" si="7"/>
        <v>8.59033316666667</v>
      </c>
    </row>
    <row r="111" spans="1:5">
      <c r="A111" s="1">
        <v>32</v>
      </c>
      <c r="B111" s="1">
        <v>2.6645</v>
      </c>
      <c r="C111" s="1">
        <v>518.63998</v>
      </c>
      <c r="D111" s="2">
        <f t="shared" si="6"/>
        <v>0.00810810810810811</v>
      </c>
      <c r="E111" s="2">
        <f t="shared" si="7"/>
        <v>8.64399966666667</v>
      </c>
    </row>
    <row r="112" spans="1:5">
      <c r="A112" s="1">
        <v>32.1</v>
      </c>
      <c r="B112" s="1">
        <v>2.6729</v>
      </c>
      <c r="C112" s="1">
        <v>521.85997</v>
      </c>
      <c r="D112" s="2">
        <f t="shared" si="6"/>
        <v>0.00818378378378378</v>
      </c>
      <c r="E112" s="2">
        <f t="shared" si="7"/>
        <v>8.69766616666667</v>
      </c>
    </row>
    <row r="113" spans="1:5">
      <c r="A113" s="1">
        <v>32.2</v>
      </c>
      <c r="B113" s="1">
        <v>2.6812</v>
      </c>
      <c r="C113" s="1">
        <v>525.08002</v>
      </c>
      <c r="D113" s="2">
        <f t="shared" si="6"/>
        <v>0.00825855855855856</v>
      </c>
      <c r="E113" s="2">
        <f t="shared" si="7"/>
        <v>8.75133366666667</v>
      </c>
    </row>
    <row r="114" spans="1:5">
      <c r="A114" s="1">
        <v>32.3</v>
      </c>
      <c r="B114" s="1">
        <v>2.6895</v>
      </c>
      <c r="C114" s="1">
        <v>528.31002</v>
      </c>
      <c r="D114" s="2">
        <f t="shared" si="6"/>
        <v>0.00833333333333333</v>
      </c>
      <c r="E114" s="2">
        <f t="shared" si="7"/>
        <v>8.805167</v>
      </c>
    </row>
    <row r="115" spans="1:5">
      <c r="A115" s="1">
        <v>32.4</v>
      </c>
      <c r="B115" s="1">
        <v>2.6979</v>
      </c>
      <c r="C115" s="1">
        <v>531.53001</v>
      </c>
      <c r="D115" s="2">
        <f t="shared" si="6"/>
        <v>0.00840900900900901</v>
      </c>
      <c r="E115" s="2">
        <f t="shared" si="7"/>
        <v>8.8588335</v>
      </c>
    </row>
    <row r="116" spans="1:5">
      <c r="A116" s="1">
        <v>32.5</v>
      </c>
      <c r="B116" s="1">
        <v>2.7062</v>
      </c>
      <c r="C116" s="1">
        <v>534.75</v>
      </c>
      <c r="D116" s="2">
        <f t="shared" si="6"/>
        <v>0.00848378378378378</v>
      </c>
      <c r="E116" s="2">
        <f t="shared" si="7"/>
        <v>8.9125</v>
      </c>
    </row>
    <row r="117" spans="1:5">
      <c r="A117" s="1">
        <v>32.6</v>
      </c>
      <c r="B117" s="1">
        <v>2.7146</v>
      </c>
      <c r="C117" s="1">
        <v>537.96999</v>
      </c>
      <c r="D117" s="2">
        <f t="shared" si="6"/>
        <v>0.00855945945945946</v>
      </c>
      <c r="E117" s="2">
        <f t="shared" si="7"/>
        <v>8.9661665</v>
      </c>
    </row>
    <row r="118" spans="1:5">
      <c r="A118" s="1">
        <v>32.7</v>
      </c>
      <c r="B118" s="1">
        <v>2.7229</v>
      </c>
      <c r="C118" s="1">
        <v>541.18998</v>
      </c>
      <c r="D118" s="2">
        <f t="shared" si="6"/>
        <v>0.00863423423423423</v>
      </c>
      <c r="E118" s="2">
        <f t="shared" si="7"/>
        <v>9.019833</v>
      </c>
    </row>
    <row r="119" spans="1:5">
      <c r="A119" s="1">
        <v>32.8</v>
      </c>
      <c r="B119" s="1">
        <v>2.7312</v>
      </c>
      <c r="C119" s="1">
        <v>544.40998</v>
      </c>
      <c r="D119" s="2">
        <f t="shared" si="6"/>
        <v>0.00870900900900901</v>
      </c>
      <c r="E119" s="2">
        <f t="shared" si="7"/>
        <v>9.07349966666667</v>
      </c>
    </row>
    <row r="120" spans="1:5">
      <c r="A120" s="1">
        <v>32.9</v>
      </c>
      <c r="B120" s="1">
        <v>2.7395</v>
      </c>
      <c r="C120" s="1">
        <v>546.83</v>
      </c>
      <c r="D120" s="2">
        <f t="shared" si="6"/>
        <v>0.00878378378378378</v>
      </c>
      <c r="E120" s="2">
        <f t="shared" si="7"/>
        <v>9.11383333333333</v>
      </c>
    </row>
    <row r="121" spans="1:5">
      <c r="A121" s="1">
        <v>33</v>
      </c>
      <c r="B121" s="1">
        <v>2.7479</v>
      </c>
      <c r="C121" s="1">
        <v>550.04999</v>
      </c>
      <c r="D121" s="2">
        <f t="shared" si="6"/>
        <v>0.00885945945945946</v>
      </c>
      <c r="E121" s="2">
        <f t="shared" si="7"/>
        <v>9.16749983333333</v>
      </c>
    </row>
    <row r="122" spans="1:5">
      <c r="A122" s="1">
        <v>33.1</v>
      </c>
      <c r="B122" s="1">
        <v>2.7562</v>
      </c>
      <c r="C122" s="1">
        <v>552.47001</v>
      </c>
      <c r="D122" s="2">
        <f t="shared" si="6"/>
        <v>0.00893423423423424</v>
      </c>
      <c r="E122" s="2">
        <f t="shared" si="7"/>
        <v>9.2078335</v>
      </c>
    </row>
    <row r="123" spans="1:5">
      <c r="A123" s="1">
        <v>33.2</v>
      </c>
      <c r="B123" s="1">
        <v>2.7645</v>
      </c>
      <c r="C123" s="1">
        <v>555.69001</v>
      </c>
      <c r="D123" s="2">
        <f t="shared" si="6"/>
        <v>0.00900900900900901</v>
      </c>
      <c r="E123" s="2">
        <f t="shared" si="7"/>
        <v>9.26150016666667</v>
      </c>
    </row>
    <row r="124" spans="1:5">
      <c r="A124" s="1">
        <v>33.3</v>
      </c>
      <c r="B124" s="1">
        <v>2.7729</v>
      </c>
      <c r="C124" s="1">
        <v>558.10003</v>
      </c>
      <c r="D124" s="2">
        <f t="shared" si="6"/>
        <v>0.00908468468468468</v>
      </c>
      <c r="E124" s="2">
        <f t="shared" si="7"/>
        <v>9.30166716666667</v>
      </c>
    </row>
    <row r="125" spans="1:5">
      <c r="A125" s="1">
        <v>33.4</v>
      </c>
      <c r="B125" s="1">
        <v>2.7812</v>
      </c>
      <c r="C125" s="1">
        <v>560.51999</v>
      </c>
      <c r="D125" s="2">
        <f t="shared" si="6"/>
        <v>0.00915945945945946</v>
      </c>
      <c r="E125" s="2">
        <f t="shared" si="7"/>
        <v>9.34199983333333</v>
      </c>
    </row>
    <row r="126" spans="1:5">
      <c r="A126" s="1">
        <v>33.5</v>
      </c>
      <c r="B126" s="1">
        <v>2.7896</v>
      </c>
      <c r="C126" s="1">
        <v>563.73999</v>
      </c>
      <c r="D126" s="2">
        <f t="shared" si="6"/>
        <v>0.00923513513513513</v>
      </c>
      <c r="E126" s="2">
        <f t="shared" si="7"/>
        <v>9.3956665</v>
      </c>
    </row>
    <row r="127" spans="1:5">
      <c r="A127" s="1">
        <v>33.6</v>
      </c>
      <c r="B127" s="1">
        <v>2.7979</v>
      </c>
      <c r="C127" s="1">
        <v>566.16001</v>
      </c>
      <c r="D127" s="2">
        <f t="shared" si="6"/>
        <v>0.00930990990990991</v>
      </c>
      <c r="E127" s="2">
        <f t="shared" si="7"/>
        <v>9.43600016666667</v>
      </c>
    </row>
    <row r="128" spans="1:5">
      <c r="A128" s="1">
        <v>33.7</v>
      </c>
      <c r="B128" s="1">
        <v>2.8062</v>
      </c>
      <c r="C128" s="1">
        <v>568.56997</v>
      </c>
      <c r="D128" s="2">
        <f t="shared" si="6"/>
        <v>0.00938468468468468</v>
      </c>
      <c r="E128" s="2">
        <f t="shared" si="7"/>
        <v>9.47616616666667</v>
      </c>
    </row>
    <row r="129" spans="1:5">
      <c r="A129" s="1">
        <v>33.8</v>
      </c>
      <c r="B129" s="1">
        <v>2.8145</v>
      </c>
      <c r="C129" s="1">
        <v>570.99</v>
      </c>
      <c r="D129" s="2">
        <f t="shared" si="6"/>
        <v>0.00945945945945946</v>
      </c>
      <c r="E129" s="2">
        <f t="shared" si="7"/>
        <v>9.5165</v>
      </c>
    </row>
    <row r="130" spans="1:5">
      <c r="A130" s="1">
        <v>33.9</v>
      </c>
      <c r="B130" s="1">
        <v>2.8229</v>
      </c>
      <c r="C130" s="1">
        <v>573.41002</v>
      </c>
      <c r="D130" s="2">
        <f t="shared" si="6"/>
        <v>0.00953513513513514</v>
      </c>
      <c r="E130" s="2">
        <f t="shared" si="7"/>
        <v>9.55683366666667</v>
      </c>
    </row>
    <row r="131" spans="1:5">
      <c r="A131" s="1">
        <v>34</v>
      </c>
      <c r="B131" s="1">
        <v>2.8312</v>
      </c>
      <c r="C131" s="1">
        <v>575.81998</v>
      </c>
      <c r="D131" s="2">
        <f t="shared" ref="D131:D152" si="8">(B131/$L$3)-0.0158963963963964</f>
        <v>0.00960990990990991</v>
      </c>
      <c r="E131" s="2">
        <f t="shared" ref="E131:E152" si="9">C131/$L$4</f>
        <v>9.59699966666667</v>
      </c>
    </row>
    <row r="132" spans="1:5">
      <c r="A132" s="1">
        <v>34.1</v>
      </c>
      <c r="B132" s="1">
        <v>2.8395</v>
      </c>
      <c r="C132" s="1">
        <v>577.42998</v>
      </c>
      <c r="D132" s="2">
        <f t="shared" si="8"/>
        <v>0.00968468468468468</v>
      </c>
      <c r="E132" s="2">
        <f t="shared" si="9"/>
        <v>9.623833</v>
      </c>
    </row>
    <row r="133" spans="1:5">
      <c r="A133" s="1">
        <v>34.2</v>
      </c>
      <c r="B133" s="1">
        <v>2.8479</v>
      </c>
      <c r="C133" s="1">
        <v>579.85</v>
      </c>
      <c r="D133" s="2">
        <f t="shared" si="8"/>
        <v>0.00976036036036036</v>
      </c>
      <c r="E133" s="2">
        <f t="shared" si="9"/>
        <v>9.66416666666667</v>
      </c>
    </row>
    <row r="134" spans="1:5">
      <c r="A134" s="1">
        <v>34.3</v>
      </c>
      <c r="B134" s="1">
        <v>2.8562</v>
      </c>
      <c r="C134" s="1">
        <v>581.46</v>
      </c>
      <c r="D134" s="2">
        <f t="shared" si="8"/>
        <v>0.00983513513513513</v>
      </c>
      <c r="E134" s="2">
        <f t="shared" si="9"/>
        <v>9.691</v>
      </c>
    </row>
    <row r="135" spans="1:5">
      <c r="A135" s="1">
        <v>34.4</v>
      </c>
      <c r="B135" s="1">
        <v>2.8646</v>
      </c>
      <c r="C135" s="1">
        <v>583.88002</v>
      </c>
      <c r="D135" s="2">
        <f t="shared" si="8"/>
        <v>0.00991081081081081</v>
      </c>
      <c r="E135" s="2">
        <f t="shared" si="9"/>
        <v>9.73133366666667</v>
      </c>
    </row>
    <row r="136" spans="1:5">
      <c r="A136" s="1">
        <v>34.5</v>
      </c>
      <c r="B136" s="1">
        <v>2.8729</v>
      </c>
      <c r="C136" s="1">
        <v>585.49002</v>
      </c>
      <c r="D136" s="2">
        <f t="shared" si="8"/>
        <v>0.00998558558558559</v>
      </c>
      <c r="E136" s="2">
        <f t="shared" si="9"/>
        <v>9.758167</v>
      </c>
    </row>
    <row r="137" spans="1:5">
      <c r="A137" s="1">
        <v>34.6</v>
      </c>
      <c r="B137" s="1">
        <v>2.8812</v>
      </c>
      <c r="C137" s="1">
        <v>587.10001</v>
      </c>
      <c r="D137" s="2">
        <f t="shared" si="8"/>
        <v>0.0100603603603604</v>
      </c>
      <c r="E137" s="2">
        <f t="shared" si="9"/>
        <v>9.78500016666667</v>
      </c>
    </row>
    <row r="138" spans="1:5">
      <c r="A138" s="1">
        <v>34.7</v>
      </c>
      <c r="B138" s="1">
        <v>2.8895</v>
      </c>
      <c r="C138" s="1">
        <v>588.71001</v>
      </c>
      <c r="D138" s="2">
        <f t="shared" si="8"/>
        <v>0.0101351351351351</v>
      </c>
      <c r="E138" s="2">
        <f t="shared" si="9"/>
        <v>9.8118335</v>
      </c>
    </row>
    <row r="139" spans="1:5">
      <c r="A139" s="1">
        <v>34.8</v>
      </c>
      <c r="B139" s="1">
        <v>2.8979</v>
      </c>
      <c r="C139" s="1">
        <v>590.32001</v>
      </c>
      <c r="D139" s="2">
        <f t="shared" si="8"/>
        <v>0.0102108108108108</v>
      </c>
      <c r="E139" s="2">
        <f t="shared" si="9"/>
        <v>9.83866683333333</v>
      </c>
    </row>
    <row r="140" spans="1:5">
      <c r="A140" s="1">
        <v>34.9</v>
      </c>
      <c r="B140" s="1">
        <v>2.9062</v>
      </c>
      <c r="C140" s="1">
        <v>591.11997</v>
      </c>
      <c r="D140" s="2">
        <f t="shared" si="8"/>
        <v>0.0102855855855856</v>
      </c>
      <c r="E140" s="2">
        <f t="shared" si="9"/>
        <v>9.8519995</v>
      </c>
    </row>
    <row r="141" spans="1:5">
      <c r="A141" s="1">
        <v>35</v>
      </c>
      <c r="B141" s="1">
        <v>2.9145</v>
      </c>
      <c r="C141" s="1">
        <v>591.93</v>
      </c>
      <c r="D141" s="2">
        <f t="shared" si="8"/>
        <v>0.0103603603603604</v>
      </c>
      <c r="E141" s="2">
        <f t="shared" si="9"/>
        <v>9.8655</v>
      </c>
    </row>
    <row r="142" spans="1:5">
      <c r="A142" s="1">
        <v>35.1</v>
      </c>
      <c r="B142" s="1">
        <v>2.9229</v>
      </c>
      <c r="C142" s="1">
        <v>592.73003</v>
      </c>
      <c r="D142" s="2">
        <f t="shared" si="8"/>
        <v>0.010436036036036</v>
      </c>
      <c r="E142" s="2">
        <f t="shared" si="9"/>
        <v>9.87883383333333</v>
      </c>
    </row>
    <row r="143" spans="1:5">
      <c r="A143" s="1">
        <v>35.2</v>
      </c>
      <c r="B143" s="1">
        <v>2.9312</v>
      </c>
      <c r="C143" s="1">
        <v>593.54</v>
      </c>
      <c r="D143" s="2">
        <f t="shared" si="8"/>
        <v>0.0105108108108108</v>
      </c>
      <c r="E143" s="2">
        <f t="shared" si="9"/>
        <v>9.89233333333333</v>
      </c>
    </row>
    <row r="144" spans="1:5">
      <c r="A144" s="1">
        <v>35.3</v>
      </c>
      <c r="B144" s="1">
        <v>2.9396</v>
      </c>
      <c r="C144" s="1">
        <v>594.34002</v>
      </c>
      <c r="D144" s="2">
        <f t="shared" si="8"/>
        <v>0.0105864864864865</v>
      </c>
      <c r="E144" s="2">
        <f t="shared" si="9"/>
        <v>9.905667</v>
      </c>
    </row>
    <row r="145" spans="1:5">
      <c r="A145" s="1">
        <v>35.4</v>
      </c>
      <c r="B145" s="1">
        <v>2.9479</v>
      </c>
      <c r="C145" s="1">
        <v>594.34002</v>
      </c>
      <c r="D145" s="2">
        <f t="shared" si="8"/>
        <v>0.0106612612612613</v>
      </c>
      <c r="E145" s="2">
        <f t="shared" si="9"/>
        <v>9.905667</v>
      </c>
    </row>
    <row r="146" spans="1:5">
      <c r="A146" s="1">
        <v>35.5</v>
      </c>
      <c r="B146" s="1">
        <v>2.9562</v>
      </c>
      <c r="C146" s="1">
        <v>595.14999</v>
      </c>
      <c r="D146" s="2">
        <f t="shared" si="8"/>
        <v>0.010736036036036</v>
      </c>
      <c r="E146" s="2">
        <f t="shared" si="9"/>
        <v>9.9191665</v>
      </c>
    </row>
    <row r="147" spans="1:5">
      <c r="A147" s="1">
        <v>35.6</v>
      </c>
      <c r="B147" s="1">
        <v>2.9645</v>
      </c>
      <c r="C147" s="1">
        <v>595.14999</v>
      </c>
      <c r="D147" s="2">
        <f t="shared" si="8"/>
        <v>0.0108108108108108</v>
      </c>
      <c r="E147" s="2">
        <f t="shared" si="9"/>
        <v>9.9191665</v>
      </c>
    </row>
    <row r="148" spans="1:5">
      <c r="A148" s="1">
        <v>35.7</v>
      </c>
      <c r="B148" s="1">
        <v>2.9729</v>
      </c>
      <c r="C148" s="1">
        <v>594.34002</v>
      </c>
      <c r="D148" s="2">
        <f t="shared" si="8"/>
        <v>0.0108864864864865</v>
      </c>
      <c r="E148" s="2">
        <f t="shared" si="9"/>
        <v>9.905667</v>
      </c>
    </row>
    <row r="149" spans="1:5">
      <c r="A149" s="1">
        <v>35.8</v>
      </c>
      <c r="B149" s="1">
        <v>2.9812</v>
      </c>
      <c r="C149" s="1">
        <v>593.54</v>
      </c>
      <c r="D149" s="2">
        <f t="shared" si="8"/>
        <v>0.0109612612612613</v>
      </c>
      <c r="E149" s="2">
        <f t="shared" si="9"/>
        <v>9.89233333333333</v>
      </c>
    </row>
    <row r="150" spans="1:5">
      <c r="A150" s="1">
        <v>35.9</v>
      </c>
      <c r="B150" s="1">
        <v>2.9895</v>
      </c>
      <c r="C150" s="1">
        <v>591.93</v>
      </c>
      <c r="D150" s="2">
        <f t="shared" si="8"/>
        <v>0.011036036036036</v>
      </c>
      <c r="E150" s="2">
        <f t="shared" si="9"/>
        <v>9.8655</v>
      </c>
    </row>
    <row r="151" spans="1:5">
      <c r="A151" s="1">
        <v>36</v>
      </c>
      <c r="B151" s="1">
        <v>2.9979</v>
      </c>
      <c r="C151" s="1">
        <v>589.50998</v>
      </c>
      <c r="D151" s="2">
        <f t="shared" si="8"/>
        <v>0.0111117117117117</v>
      </c>
      <c r="E151" s="2">
        <f t="shared" si="9"/>
        <v>9.82516633333333</v>
      </c>
    </row>
    <row r="152" spans="1:5">
      <c r="A152" s="1">
        <v>36.1</v>
      </c>
      <c r="B152" s="1">
        <v>3.0062</v>
      </c>
      <c r="C152" s="1">
        <v>584.67999</v>
      </c>
      <c r="D152" s="2">
        <f t="shared" si="8"/>
        <v>0.0111864864864865</v>
      </c>
      <c r="E152" s="2">
        <f t="shared" si="9"/>
        <v>9.7446665</v>
      </c>
    </row>
    <row r="153" spans="1:5">
      <c r="D153" s="2"/>
      <c r="E153" s="2"/>
    </row>
    <row r="154" spans="1:5">
      <c r="D154" s="2"/>
      <c r="E154" s="2"/>
    </row>
    <row r="155" spans="1:5">
      <c r="D155" s="2"/>
      <c r="E155" s="2"/>
    </row>
    <row r="156" spans="1:5">
      <c r="D156" s="2"/>
      <c r="E156" s="2"/>
    </row>
    <row r="157" spans="1:5">
      <c r="D157" s="2"/>
      <c r="E157" s="2"/>
    </row>
    <row r="158" spans="1:5">
      <c r="D158" s="2"/>
      <c r="E158" s="2"/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38"/>
  <sheetViews>
    <sheetView workbookViewId="0">
      <selection activeCell="G18" sqref="G18"/>
    </sheetView>
  </sheetViews>
  <sheetFormatPr defaultColWidth="9" defaultRowHeight="14"/>
  <cols>
    <col min="1" max="3" width="8.84166666666667" style="1"/>
    <col min="4" max="4" width="10.8916666666667" customWidth="1"/>
    <col min="5" max="5" width="6.68333333333333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6" t="s">
        <v>8</v>
      </c>
      <c r="E2" s="2" t="s">
        <v>9</v>
      </c>
    </row>
    <row r="3" spans="1:13">
      <c r="A3" s="1">
        <v>23.3</v>
      </c>
      <c r="B3" s="1">
        <v>1.9396</v>
      </c>
      <c r="C3" s="1">
        <v>103.89</v>
      </c>
      <c r="D3" s="2">
        <v>0</v>
      </c>
      <c r="E3" s="2">
        <f t="shared" ref="E3:E66" si="0">C3/$L$4</f>
        <v>1.7315</v>
      </c>
      <c r="K3" t="s">
        <v>10</v>
      </c>
      <c r="L3">
        <v>111</v>
      </c>
      <c r="M3" t="s">
        <v>11</v>
      </c>
    </row>
    <row r="4" spans="1:13">
      <c r="A4" s="1">
        <v>23.4</v>
      </c>
      <c r="B4" s="1">
        <v>1.9479</v>
      </c>
      <c r="C4" s="1">
        <v>107.11</v>
      </c>
      <c r="D4" s="2">
        <f t="shared" ref="D4:D67" si="1">((B4/$L$3))-0.0174738738738739</f>
        <v>7.47747747747475e-5</v>
      </c>
      <c r="E4" s="2">
        <f t="shared" si="0"/>
        <v>1.78516666666667</v>
      </c>
      <c r="K4" t="s">
        <v>12</v>
      </c>
      <c r="L4">
        <f>10*6</f>
        <v>60</v>
      </c>
      <c r="M4" t="s">
        <v>13</v>
      </c>
    </row>
    <row r="5" spans="1:13">
      <c r="A5" s="1">
        <v>23.5</v>
      </c>
      <c r="B5" s="1">
        <v>1.9562</v>
      </c>
      <c r="C5" s="1">
        <v>111.13</v>
      </c>
      <c r="D5" s="2">
        <f t="shared" si="1"/>
        <v>0.000149549549549523</v>
      </c>
      <c r="E5" s="2">
        <f t="shared" si="0"/>
        <v>1.85216666666667</v>
      </c>
    </row>
    <row r="6" spans="1:13">
      <c r="A6" s="1">
        <v>23.6</v>
      </c>
      <c r="B6" s="1">
        <v>1.9646</v>
      </c>
      <c r="C6" s="1">
        <v>115.16</v>
      </c>
      <c r="D6" s="2">
        <f t="shared" si="1"/>
        <v>0.000225225225225199</v>
      </c>
      <c r="E6" s="2">
        <f t="shared" si="0"/>
        <v>1.91933333333333</v>
      </c>
    </row>
    <row r="7" spans="1:13">
      <c r="A7" s="1">
        <v>23.7</v>
      </c>
      <c r="B7" s="1">
        <v>1.9729</v>
      </c>
      <c r="C7" s="1">
        <v>119.19001</v>
      </c>
      <c r="D7" s="2">
        <f t="shared" si="1"/>
        <v>0.000299999999999974</v>
      </c>
      <c r="E7" s="2">
        <f t="shared" si="0"/>
        <v>1.98650016666667</v>
      </c>
    </row>
    <row r="8" spans="1:13">
      <c r="A8" s="1">
        <v>23.8</v>
      </c>
      <c r="B8" s="1">
        <v>1.9812</v>
      </c>
      <c r="C8" s="1">
        <v>124.01999</v>
      </c>
      <c r="D8" s="2">
        <f t="shared" si="1"/>
        <v>0.000374774774774749</v>
      </c>
      <c r="E8" s="2">
        <f t="shared" si="0"/>
        <v>2.06699983333333</v>
      </c>
    </row>
    <row r="9" spans="1:13">
      <c r="A9" s="1">
        <v>23.9</v>
      </c>
      <c r="B9" s="1">
        <v>1.9896</v>
      </c>
      <c r="C9" s="1">
        <v>127.24</v>
      </c>
      <c r="D9" s="2">
        <f t="shared" si="1"/>
        <v>0.000450450450450425</v>
      </c>
      <c r="E9" s="2">
        <f t="shared" si="0"/>
        <v>2.12066666666667</v>
      </c>
    </row>
    <row r="10" spans="1:13">
      <c r="A10" s="1">
        <v>24</v>
      </c>
      <c r="B10" s="1">
        <v>1.9979</v>
      </c>
      <c r="C10" s="1">
        <v>132.07</v>
      </c>
      <c r="D10" s="2">
        <f t="shared" si="1"/>
        <v>0.000525225225225197</v>
      </c>
      <c r="E10" s="2">
        <f t="shared" si="0"/>
        <v>2.20116666666667</v>
      </c>
    </row>
    <row r="11" spans="1:13">
      <c r="A11" s="1">
        <v>24.1</v>
      </c>
      <c r="B11" s="1">
        <v>2.0063</v>
      </c>
      <c r="C11" s="1">
        <v>136.09999</v>
      </c>
      <c r="D11" s="2">
        <f t="shared" si="1"/>
        <v>0.000600900900900873</v>
      </c>
      <c r="E11" s="2">
        <f t="shared" si="0"/>
        <v>2.26833316666667</v>
      </c>
    </row>
    <row r="12" spans="1:13">
      <c r="A12" s="1">
        <v>24.2</v>
      </c>
      <c r="B12" s="1">
        <v>2.0146</v>
      </c>
      <c r="C12" s="1">
        <v>140.13</v>
      </c>
      <c r="D12" s="2">
        <f t="shared" si="1"/>
        <v>0.000675675675675651</v>
      </c>
      <c r="E12" s="2">
        <f t="shared" si="0"/>
        <v>2.3355</v>
      </c>
    </row>
    <row r="13" spans="1:13">
      <c r="A13" s="1">
        <v>24.3</v>
      </c>
      <c r="B13" s="1">
        <v>2.0229</v>
      </c>
      <c r="C13" s="1">
        <v>144.15</v>
      </c>
      <c r="D13" s="2">
        <f t="shared" si="1"/>
        <v>0.000750450450450423</v>
      </c>
      <c r="E13" s="2">
        <f t="shared" si="0"/>
        <v>2.4025</v>
      </c>
    </row>
    <row r="14" spans="1:13">
      <c r="A14" s="1">
        <v>24.4</v>
      </c>
      <c r="B14" s="1">
        <v>2.0312</v>
      </c>
      <c r="C14" s="1">
        <v>148.99001</v>
      </c>
      <c r="D14" s="2">
        <f t="shared" si="1"/>
        <v>0.000825225225225198</v>
      </c>
      <c r="E14" s="2">
        <f t="shared" si="0"/>
        <v>2.48316683333333</v>
      </c>
    </row>
    <row r="15" spans="1:13">
      <c r="A15" s="1">
        <v>24.5</v>
      </c>
      <c r="B15" s="1">
        <v>2.0396</v>
      </c>
      <c r="C15" s="1">
        <v>153.00999</v>
      </c>
      <c r="D15" s="2">
        <f t="shared" si="1"/>
        <v>0.000900900900900874</v>
      </c>
      <c r="E15" s="2">
        <f t="shared" si="0"/>
        <v>2.5501665</v>
      </c>
    </row>
    <row r="16" spans="1:13">
      <c r="A16" s="1">
        <v>24.6</v>
      </c>
      <c r="B16" s="1">
        <v>2.0479</v>
      </c>
      <c r="C16" s="1">
        <v>157.84</v>
      </c>
      <c r="D16" s="2">
        <f t="shared" si="1"/>
        <v>0.000975675675675646</v>
      </c>
      <c r="E16" s="2">
        <f t="shared" si="0"/>
        <v>2.63066666666667</v>
      </c>
    </row>
    <row r="17" spans="1:13">
      <c r="A17" s="1">
        <v>24.7</v>
      </c>
      <c r="B17" s="1">
        <v>2.0562</v>
      </c>
      <c r="C17" s="1">
        <v>161.87</v>
      </c>
      <c r="D17" s="2">
        <f t="shared" si="1"/>
        <v>0.00105045045045042</v>
      </c>
      <c r="E17" s="2">
        <f t="shared" si="0"/>
        <v>2.69783333333333</v>
      </c>
    </row>
    <row r="18" spans="1:13">
      <c r="A18" s="1">
        <v>24.8</v>
      </c>
      <c r="B18" s="1">
        <v>2.0646</v>
      </c>
      <c r="C18" s="1">
        <v>165.90001</v>
      </c>
      <c r="D18" s="2">
        <f t="shared" si="1"/>
        <v>0.0011261261261261</v>
      </c>
      <c r="E18" s="2">
        <f t="shared" si="0"/>
        <v>2.76500016666667</v>
      </c>
    </row>
    <row r="19" spans="1:13">
      <c r="A19" s="1">
        <v>24.9</v>
      </c>
      <c r="B19" s="1">
        <v>2.0729</v>
      </c>
      <c r="C19" s="1">
        <v>170.72999</v>
      </c>
      <c r="D19" s="2">
        <f t="shared" si="1"/>
        <v>0.00120090090090088</v>
      </c>
      <c r="E19" s="2">
        <f t="shared" si="0"/>
        <v>2.84549983333333</v>
      </c>
    </row>
    <row r="20" spans="1:13">
      <c r="A20" s="1">
        <v>25</v>
      </c>
      <c r="B20" s="1">
        <v>2.0813</v>
      </c>
      <c r="C20" s="1">
        <v>174.76</v>
      </c>
      <c r="D20" s="2">
        <f t="shared" si="1"/>
        <v>0.00127657657657655</v>
      </c>
      <c r="E20" s="2">
        <f t="shared" si="0"/>
        <v>2.91266666666667</v>
      </c>
    </row>
    <row r="21" spans="1:13">
      <c r="A21" s="1">
        <v>25.1</v>
      </c>
      <c r="B21" s="1">
        <v>2.0896</v>
      </c>
      <c r="C21" s="1">
        <v>179.59</v>
      </c>
      <c r="D21" s="2">
        <f t="shared" si="1"/>
        <v>0.00135135135135132</v>
      </c>
      <c r="E21" s="2">
        <f t="shared" si="0"/>
        <v>2.99316666666667</v>
      </c>
    </row>
    <row r="22" spans="1:13">
      <c r="A22" s="1">
        <v>25.2</v>
      </c>
      <c r="B22" s="1">
        <v>2.0979</v>
      </c>
      <c r="C22" s="1">
        <v>183.62001</v>
      </c>
      <c r="D22" s="2">
        <f t="shared" si="1"/>
        <v>0.0014261261261261</v>
      </c>
      <c r="E22" s="2">
        <f t="shared" si="0"/>
        <v>3.0603335</v>
      </c>
    </row>
    <row r="23" spans="1:13">
      <c r="A23" s="1">
        <v>25.3</v>
      </c>
      <c r="B23" s="1">
        <v>2.1062</v>
      </c>
      <c r="C23" s="1">
        <v>188.44999</v>
      </c>
      <c r="D23" s="2">
        <f t="shared" si="1"/>
        <v>0.00150090090090087</v>
      </c>
      <c r="E23" s="2">
        <f t="shared" si="0"/>
        <v>3.14083316666667</v>
      </c>
    </row>
    <row r="24" spans="1:13">
      <c r="A24" s="1">
        <v>25.4</v>
      </c>
      <c r="B24" s="1">
        <v>2.1146</v>
      </c>
      <c r="C24" s="1">
        <v>192.47</v>
      </c>
      <c r="D24" s="2">
        <f t="shared" si="1"/>
        <v>0.00157657657657655</v>
      </c>
      <c r="E24" s="2">
        <f t="shared" si="0"/>
        <v>3.20783333333333</v>
      </c>
    </row>
    <row r="25" spans="1:13">
      <c r="A25" s="1">
        <v>25.5</v>
      </c>
      <c r="B25" s="1">
        <v>2.1229</v>
      </c>
      <c r="C25" s="1">
        <v>196.5</v>
      </c>
      <c r="D25" s="2">
        <f t="shared" si="1"/>
        <v>0.00165135135135133</v>
      </c>
      <c r="E25" s="2">
        <f t="shared" si="0"/>
        <v>3.275</v>
      </c>
    </row>
    <row r="26" spans="1:13">
      <c r="A26" s="1">
        <v>25.6</v>
      </c>
      <c r="B26" s="1">
        <v>2.1312</v>
      </c>
      <c r="C26" s="1">
        <v>201.33</v>
      </c>
      <c r="D26" s="2">
        <f t="shared" si="1"/>
        <v>0.0017261261261261</v>
      </c>
      <c r="E26" s="2">
        <f t="shared" si="0"/>
        <v>3.3555</v>
      </c>
      <c r="J26" s="3" t="s">
        <v>14</v>
      </c>
      <c r="K26" s="3"/>
      <c r="L26" s="4">
        <f>MAX(E:E)</f>
        <v>10.9526663333333</v>
      </c>
      <c r="M26" s="3" t="s">
        <v>15</v>
      </c>
    </row>
    <row r="27" spans="1:13">
      <c r="A27" s="1">
        <v>25.7</v>
      </c>
      <c r="B27" s="1">
        <v>2.1396</v>
      </c>
      <c r="C27" s="1">
        <v>205.35999</v>
      </c>
      <c r="D27" s="2">
        <f t="shared" si="1"/>
        <v>0.00180180180180178</v>
      </c>
      <c r="E27" s="2">
        <f t="shared" si="0"/>
        <v>3.4226665</v>
      </c>
      <c r="J27" s="3" t="s">
        <v>16</v>
      </c>
      <c r="K27" s="3"/>
      <c r="L27" s="3">
        <v>0.0125369369369369</v>
      </c>
      <c r="M27" s="3" t="s">
        <v>17</v>
      </c>
    </row>
    <row r="28" spans="1:13">
      <c r="A28" s="1">
        <v>25.8</v>
      </c>
      <c r="B28" s="1">
        <v>2.1479</v>
      </c>
      <c r="C28" s="1">
        <v>210.19</v>
      </c>
      <c r="D28" s="2">
        <f t="shared" si="1"/>
        <v>0.00187657657657655</v>
      </c>
      <c r="E28" s="2">
        <f t="shared" si="0"/>
        <v>3.50316666666667</v>
      </c>
    </row>
    <row r="29" spans="1:13">
      <c r="A29" s="1">
        <v>25.9</v>
      </c>
      <c r="B29" s="1">
        <v>2.1562</v>
      </c>
      <c r="C29" s="1">
        <v>214.22</v>
      </c>
      <c r="D29" s="2">
        <f t="shared" si="1"/>
        <v>0.00195135135135132</v>
      </c>
      <c r="E29" s="2">
        <f t="shared" si="0"/>
        <v>3.57033333333333</v>
      </c>
    </row>
    <row r="30" spans="1:13">
      <c r="A30" s="1">
        <v>26</v>
      </c>
      <c r="B30" s="1">
        <v>2.1646</v>
      </c>
      <c r="C30" s="1">
        <v>218.25001</v>
      </c>
      <c r="D30" s="2">
        <f t="shared" si="1"/>
        <v>0.002027027027027</v>
      </c>
      <c r="E30" s="2">
        <f t="shared" si="0"/>
        <v>3.63750016666667</v>
      </c>
    </row>
    <row r="31" spans="1:13">
      <c r="A31" s="1">
        <v>26.1</v>
      </c>
      <c r="B31" s="1">
        <v>2.1729</v>
      </c>
      <c r="C31" s="1">
        <v>223.07999</v>
      </c>
      <c r="D31" s="2">
        <f t="shared" si="1"/>
        <v>0.00210180180180177</v>
      </c>
      <c r="E31" s="2">
        <f t="shared" si="0"/>
        <v>3.71799983333333</v>
      </c>
    </row>
    <row r="32" spans="1:13">
      <c r="A32" s="1">
        <v>26.2</v>
      </c>
      <c r="B32" s="1">
        <v>2.1812</v>
      </c>
      <c r="C32" s="1">
        <v>227.1</v>
      </c>
      <c r="D32" s="2">
        <f t="shared" si="1"/>
        <v>0.00217657657657655</v>
      </c>
      <c r="E32" s="2">
        <f t="shared" si="0"/>
        <v>3.785</v>
      </c>
    </row>
    <row r="33" spans="1:5">
      <c r="A33" s="1">
        <v>26.3</v>
      </c>
      <c r="B33" s="1">
        <v>2.1896</v>
      </c>
      <c r="C33" s="1">
        <v>231.13</v>
      </c>
      <c r="D33" s="2">
        <f t="shared" si="1"/>
        <v>0.00225225225225223</v>
      </c>
      <c r="E33" s="2">
        <f t="shared" si="0"/>
        <v>3.85216666666667</v>
      </c>
    </row>
    <row r="34" spans="1:5">
      <c r="A34" s="1">
        <v>26.4</v>
      </c>
      <c r="B34" s="1">
        <v>2.1979</v>
      </c>
      <c r="C34" s="1">
        <v>235.95999</v>
      </c>
      <c r="D34" s="2">
        <f t="shared" si="1"/>
        <v>0.002327027027027</v>
      </c>
      <c r="E34" s="2">
        <f t="shared" si="0"/>
        <v>3.9326665</v>
      </c>
    </row>
    <row r="35" spans="1:5">
      <c r="A35" s="1">
        <v>26.5</v>
      </c>
      <c r="B35" s="1">
        <v>2.2062</v>
      </c>
      <c r="C35" s="1">
        <v>239.99001</v>
      </c>
      <c r="D35" s="2">
        <f t="shared" si="1"/>
        <v>0.00240180180180177</v>
      </c>
      <c r="E35" s="2">
        <f t="shared" si="0"/>
        <v>3.9998335</v>
      </c>
    </row>
    <row r="36" spans="1:5">
      <c r="A36" s="1">
        <v>26.6</v>
      </c>
      <c r="B36" s="1">
        <v>2.2146</v>
      </c>
      <c r="C36" s="1">
        <v>244.82</v>
      </c>
      <c r="D36" s="2">
        <f t="shared" si="1"/>
        <v>0.00247747747747745</v>
      </c>
      <c r="E36" s="2">
        <f t="shared" si="0"/>
        <v>4.08033333333333</v>
      </c>
    </row>
    <row r="37" spans="1:5">
      <c r="A37" s="1">
        <v>26.7</v>
      </c>
      <c r="B37" s="1">
        <v>2.2229</v>
      </c>
      <c r="C37" s="1">
        <v>248.84999</v>
      </c>
      <c r="D37" s="2">
        <f t="shared" si="1"/>
        <v>0.00255225225225223</v>
      </c>
      <c r="E37" s="2">
        <f t="shared" si="0"/>
        <v>4.14749983333333</v>
      </c>
    </row>
    <row r="38" spans="1:5">
      <c r="A38" s="1">
        <v>26.8</v>
      </c>
      <c r="B38" s="1">
        <v>2.2312</v>
      </c>
      <c r="C38" s="1">
        <v>252.88001</v>
      </c>
      <c r="D38" s="2">
        <f t="shared" si="1"/>
        <v>0.002627027027027</v>
      </c>
      <c r="E38" s="2">
        <f t="shared" si="0"/>
        <v>4.21466683333333</v>
      </c>
    </row>
    <row r="39" spans="1:5">
      <c r="A39" s="1">
        <v>26.9</v>
      </c>
      <c r="B39" s="1">
        <v>2.2396</v>
      </c>
      <c r="C39" s="1">
        <v>257.70999</v>
      </c>
      <c r="D39" s="2">
        <f t="shared" si="1"/>
        <v>0.00270270270270268</v>
      </c>
      <c r="E39" s="2">
        <f t="shared" si="0"/>
        <v>4.2951665</v>
      </c>
    </row>
    <row r="40" spans="1:5">
      <c r="A40" s="1">
        <v>27</v>
      </c>
      <c r="B40" s="1">
        <v>2.2479</v>
      </c>
      <c r="C40" s="1">
        <v>261.73001</v>
      </c>
      <c r="D40" s="2">
        <f t="shared" si="1"/>
        <v>0.00277747747747745</v>
      </c>
      <c r="E40" s="2">
        <f t="shared" si="0"/>
        <v>4.36216683333333</v>
      </c>
    </row>
    <row r="41" spans="1:5">
      <c r="A41" s="1">
        <v>27.1</v>
      </c>
      <c r="B41" s="1">
        <v>2.2562</v>
      </c>
      <c r="C41" s="1">
        <v>265.76</v>
      </c>
      <c r="D41" s="2">
        <f t="shared" si="1"/>
        <v>0.00285225225225223</v>
      </c>
      <c r="E41" s="2">
        <f t="shared" si="0"/>
        <v>4.42933333333333</v>
      </c>
    </row>
    <row r="42" spans="1:5">
      <c r="A42" s="1">
        <v>27.2</v>
      </c>
      <c r="B42" s="1">
        <v>2.2646</v>
      </c>
      <c r="C42" s="1">
        <v>270.58999</v>
      </c>
      <c r="D42" s="2">
        <f t="shared" si="1"/>
        <v>0.0029279279279279</v>
      </c>
      <c r="E42" s="2">
        <f t="shared" si="0"/>
        <v>4.50983316666667</v>
      </c>
    </row>
    <row r="43" spans="1:5">
      <c r="A43" s="1">
        <v>27.3</v>
      </c>
      <c r="B43" s="1">
        <v>2.2729</v>
      </c>
      <c r="C43" s="1">
        <v>274.62001</v>
      </c>
      <c r="D43" s="2">
        <f t="shared" si="1"/>
        <v>0.00300270270270267</v>
      </c>
      <c r="E43" s="2">
        <f t="shared" si="0"/>
        <v>4.57700016666667</v>
      </c>
    </row>
    <row r="44" spans="1:5">
      <c r="A44" s="1">
        <v>27.4</v>
      </c>
      <c r="B44" s="1">
        <v>2.2812</v>
      </c>
      <c r="C44" s="1">
        <v>278.65</v>
      </c>
      <c r="D44" s="2">
        <f t="shared" si="1"/>
        <v>0.00307747747747745</v>
      </c>
      <c r="E44" s="2">
        <f t="shared" si="0"/>
        <v>4.64416666666667</v>
      </c>
    </row>
    <row r="45" spans="1:5">
      <c r="A45" s="1">
        <v>27.5</v>
      </c>
      <c r="B45" s="1">
        <v>2.2896</v>
      </c>
      <c r="C45" s="1">
        <v>282.66999</v>
      </c>
      <c r="D45" s="2">
        <f t="shared" si="1"/>
        <v>0.00315315315315313</v>
      </c>
      <c r="E45" s="2">
        <f t="shared" si="0"/>
        <v>4.7111665</v>
      </c>
    </row>
    <row r="46" spans="1:5">
      <c r="A46" s="1">
        <v>27.6</v>
      </c>
      <c r="B46" s="1">
        <v>2.2979</v>
      </c>
      <c r="C46" s="1">
        <v>287.51001</v>
      </c>
      <c r="D46" s="2">
        <f t="shared" si="1"/>
        <v>0.0032279279279279</v>
      </c>
      <c r="E46" s="2">
        <f t="shared" si="0"/>
        <v>4.7918335</v>
      </c>
    </row>
    <row r="47" spans="1:5">
      <c r="A47" s="1">
        <v>27.7</v>
      </c>
      <c r="B47" s="1">
        <v>2.3062</v>
      </c>
      <c r="C47" s="1">
        <v>291.53</v>
      </c>
      <c r="D47" s="2">
        <f t="shared" si="1"/>
        <v>0.00330270270270267</v>
      </c>
      <c r="E47" s="2">
        <f t="shared" si="0"/>
        <v>4.85883333333333</v>
      </c>
    </row>
    <row r="48" spans="1:5">
      <c r="A48" s="1">
        <v>27.8</v>
      </c>
      <c r="B48" s="1">
        <v>2.3145</v>
      </c>
      <c r="C48" s="1">
        <v>296.36001</v>
      </c>
      <c r="D48" s="2">
        <f t="shared" si="1"/>
        <v>0.00337747747747745</v>
      </c>
      <c r="E48" s="2">
        <f t="shared" si="0"/>
        <v>4.9393335</v>
      </c>
    </row>
    <row r="49" spans="1:5">
      <c r="A49" s="1">
        <v>27.9</v>
      </c>
      <c r="B49" s="1">
        <v>2.3229</v>
      </c>
      <c r="C49" s="1">
        <v>300.39</v>
      </c>
      <c r="D49" s="2">
        <f t="shared" si="1"/>
        <v>0.00345315315315313</v>
      </c>
      <c r="E49" s="2">
        <f t="shared" si="0"/>
        <v>5.0065</v>
      </c>
    </row>
    <row r="50" spans="1:5">
      <c r="A50" s="1">
        <v>28</v>
      </c>
      <c r="B50" s="1">
        <v>2.3312</v>
      </c>
      <c r="C50" s="1">
        <v>304.41999</v>
      </c>
      <c r="D50" s="2">
        <f t="shared" si="1"/>
        <v>0.0035279279279279</v>
      </c>
      <c r="E50" s="2">
        <f t="shared" si="0"/>
        <v>5.0736665</v>
      </c>
    </row>
    <row r="51" spans="1:5">
      <c r="A51" s="1">
        <v>28.1</v>
      </c>
      <c r="B51" s="1">
        <v>2.3396</v>
      </c>
      <c r="C51" s="1">
        <v>308.44001</v>
      </c>
      <c r="D51" s="2">
        <f t="shared" si="1"/>
        <v>0.00360360360360357</v>
      </c>
      <c r="E51" s="2">
        <f t="shared" si="0"/>
        <v>5.14066683333333</v>
      </c>
    </row>
    <row r="52" spans="1:5">
      <c r="A52" s="1">
        <v>28.2</v>
      </c>
      <c r="B52" s="1">
        <v>2.3479</v>
      </c>
      <c r="C52" s="1">
        <v>312.47</v>
      </c>
      <c r="D52" s="2">
        <f t="shared" si="1"/>
        <v>0.00367837837837835</v>
      </c>
      <c r="E52" s="2">
        <f t="shared" si="0"/>
        <v>5.20783333333333</v>
      </c>
    </row>
    <row r="53" spans="1:5">
      <c r="A53" s="1">
        <v>28.3</v>
      </c>
      <c r="B53" s="1">
        <v>2.3562</v>
      </c>
      <c r="C53" s="1">
        <v>317.29999</v>
      </c>
      <c r="D53" s="2">
        <f t="shared" si="1"/>
        <v>0.00375315315315312</v>
      </c>
      <c r="E53" s="2">
        <f t="shared" si="0"/>
        <v>5.28833316666667</v>
      </c>
    </row>
    <row r="54" spans="1:5">
      <c r="A54" s="1">
        <v>28.4</v>
      </c>
      <c r="B54" s="1">
        <v>2.3646</v>
      </c>
      <c r="C54" s="1">
        <v>321.33001</v>
      </c>
      <c r="D54" s="2">
        <f t="shared" si="1"/>
        <v>0.0038288288288288</v>
      </c>
      <c r="E54" s="2">
        <f t="shared" si="0"/>
        <v>5.35550016666667</v>
      </c>
    </row>
    <row r="55" spans="1:5">
      <c r="A55" s="1">
        <v>28.5</v>
      </c>
      <c r="B55" s="1">
        <v>2.3729</v>
      </c>
      <c r="C55" s="1">
        <v>325.36</v>
      </c>
      <c r="D55" s="2">
        <f t="shared" si="1"/>
        <v>0.00390360360360358</v>
      </c>
      <c r="E55" s="2">
        <f t="shared" si="0"/>
        <v>5.42266666666667</v>
      </c>
    </row>
    <row r="56" spans="1:5">
      <c r="A56" s="1">
        <v>28.6</v>
      </c>
      <c r="B56" s="1">
        <v>2.3812</v>
      </c>
      <c r="C56" s="1">
        <v>329.37999</v>
      </c>
      <c r="D56" s="2">
        <f t="shared" si="1"/>
        <v>0.00397837837837835</v>
      </c>
      <c r="E56" s="2">
        <f t="shared" si="0"/>
        <v>5.4896665</v>
      </c>
    </row>
    <row r="57" spans="1:5">
      <c r="A57" s="1">
        <v>28.7</v>
      </c>
      <c r="B57" s="1">
        <v>2.3895</v>
      </c>
      <c r="C57" s="1">
        <v>333.41001</v>
      </c>
      <c r="D57" s="2">
        <f t="shared" si="1"/>
        <v>0.00405315315315313</v>
      </c>
      <c r="E57" s="2">
        <f t="shared" si="0"/>
        <v>5.5568335</v>
      </c>
    </row>
    <row r="58" spans="1:5">
      <c r="A58" s="1">
        <v>28.8</v>
      </c>
      <c r="B58" s="1">
        <v>2.3979</v>
      </c>
      <c r="C58" s="1">
        <v>338.24</v>
      </c>
      <c r="D58" s="2">
        <f t="shared" si="1"/>
        <v>0.0041288288288288</v>
      </c>
      <c r="E58" s="2">
        <f t="shared" si="0"/>
        <v>5.63733333333333</v>
      </c>
    </row>
    <row r="59" spans="1:5">
      <c r="A59" s="1">
        <v>28.9</v>
      </c>
      <c r="B59" s="1">
        <v>2.4062</v>
      </c>
      <c r="C59" s="1">
        <v>341.45999</v>
      </c>
      <c r="D59" s="2">
        <f t="shared" si="1"/>
        <v>0.00420360360360358</v>
      </c>
      <c r="E59" s="2">
        <f t="shared" si="0"/>
        <v>5.69099983333333</v>
      </c>
    </row>
    <row r="60" spans="1:5">
      <c r="A60" s="1">
        <v>29</v>
      </c>
      <c r="B60" s="1">
        <v>2.4146</v>
      </c>
      <c r="C60" s="1">
        <v>346.30001</v>
      </c>
      <c r="D60" s="2">
        <f t="shared" si="1"/>
        <v>0.00427927927927925</v>
      </c>
      <c r="E60" s="2">
        <f t="shared" si="0"/>
        <v>5.77166683333333</v>
      </c>
    </row>
    <row r="61" spans="1:5">
      <c r="A61" s="1">
        <v>29.1</v>
      </c>
      <c r="B61" s="1">
        <v>2.4229</v>
      </c>
      <c r="C61" s="1">
        <v>350.31999</v>
      </c>
      <c r="D61" s="2">
        <f t="shared" si="1"/>
        <v>0.00435405405405402</v>
      </c>
      <c r="E61" s="2">
        <f t="shared" si="0"/>
        <v>5.8386665</v>
      </c>
    </row>
    <row r="62" spans="1:5">
      <c r="A62" s="1">
        <v>29.2</v>
      </c>
      <c r="B62" s="1">
        <v>2.4312</v>
      </c>
      <c r="C62" s="1">
        <v>355.16001</v>
      </c>
      <c r="D62" s="2">
        <f t="shared" si="1"/>
        <v>0.0044288288288288</v>
      </c>
      <c r="E62" s="2">
        <f t="shared" si="0"/>
        <v>5.9193335</v>
      </c>
    </row>
    <row r="63" spans="1:5">
      <c r="A63" s="1">
        <v>29.3</v>
      </c>
      <c r="B63" s="1">
        <v>2.4396</v>
      </c>
      <c r="C63" s="1">
        <v>359.18</v>
      </c>
      <c r="D63" s="2">
        <f t="shared" si="1"/>
        <v>0.00450450450450448</v>
      </c>
      <c r="E63" s="2">
        <f t="shared" si="0"/>
        <v>5.98633333333333</v>
      </c>
    </row>
    <row r="64" spans="1:5">
      <c r="A64" s="1">
        <v>29.4</v>
      </c>
      <c r="B64" s="1">
        <v>2.4479</v>
      </c>
      <c r="C64" s="1">
        <v>363.20999</v>
      </c>
      <c r="D64" s="2">
        <f t="shared" si="1"/>
        <v>0.00457927927927925</v>
      </c>
      <c r="E64" s="2">
        <f t="shared" si="0"/>
        <v>6.05349983333333</v>
      </c>
    </row>
    <row r="65" spans="1:5">
      <c r="A65" s="1">
        <v>29.5</v>
      </c>
      <c r="B65" s="1">
        <v>2.4562</v>
      </c>
      <c r="C65" s="1">
        <v>367.24001</v>
      </c>
      <c r="D65" s="2">
        <f t="shared" si="1"/>
        <v>0.00465405405405403</v>
      </c>
      <c r="E65" s="2">
        <f t="shared" si="0"/>
        <v>6.12066683333333</v>
      </c>
    </row>
    <row r="66" spans="1:5">
      <c r="A66" s="1">
        <v>29.6</v>
      </c>
      <c r="B66" s="1">
        <v>2.4645</v>
      </c>
      <c r="C66" s="1">
        <v>371.26</v>
      </c>
      <c r="D66" s="2">
        <f t="shared" si="1"/>
        <v>0.0047288288288288</v>
      </c>
      <c r="E66" s="2">
        <f t="shared" si="0"/>
        <v>6.18766666666667</v>
      </c>
    </row>
    <row r="67" spans="1:5">
      <c r="A67" s="1">
        <v>29.7</v>
      </c>
      <c r="B67" s="1">
        <v>2.4729</v>
      </c>
      <c r="C67" s="1">
        <v>376.08999</v>
      </c>
      <c r="D67" s="2">
        <f t="shared" si="1"/>
        <v>0.00480450450450448</v>
      </c>
      <c r="E67" s="2">
        <f t="shared" ref="E67:E130" si="2">C67/$L$4</f>
        <v>6.2681665</v>
      </c>
    </row>
    <row r="68" spans="1:5">
      <c r="A68" s="1">
        <v>29.8</v>
      </c>
      <c r="B68" s="1">
        <v>2.4812</v>
      </c>
      <c r="C68" s="1">
        <v>380.12001</v>
      </c>
      <c r="D68" s="2">
        <f t="shared" ref="D68:D131" si="3">((B68/$L$3))-0.0174738738738739</f>
        <v>0.00487927927927925</v>
      </c>
      <c r="E68" s="2">
        <f t="shared" si="2"/>
        <v>6.3353335</v>
      </c>
    </row>
    <row r="69" spans="1:5">
      <c r="A69" s="1">
        <v>29.9</v>
      </c>
      <c r="B69" s="1">
        <v>2.4896</v>
      </c>
      <c r="C69" s="1">
        <v>384.15</v>
      </c>
      <c r="D69" s="2">
        <f t="shared" si="3"/>
        <v>0.00495495495495493</v>
      </c>
      <c r="E69" s="2">
        <f t="shared" si="2"/>
        <v>6.4025</v>
      </c>
    </row>
    <row r="70" spans="1:5">
      <c r="A70" s="1">
        <v>30</v>
      </c>
      <c r="B70" s="1">
        <v>2.4979</v>
      </c>
      <c r="C70" s="1">
        <v>388.16999</v>
      </c>
      <c r="D70" s="2">
        <f t="shared" si="3"/>
        <v>0.0050297297297297</v>
      </c>
      <c r="E70" s="2">
        <f t="shared" si="2"/>
        <v>6.46949983333333</v>
      </c>
    </row>
    <row r="71" spans="1:5">
      <c r="A71" s="1">
        <v>30.1</v>
      </c>
      <c r="B71" s="1">
        <v>2.5062</v>
      </c>
      <c r="C71" s="1">
        <v>392.20001</v>
      </c>
      <c r="D71" s="2">
        <f t="shared" si="3"/>
        <v>0.00510450450450448</v>
      </c>
      <c r="E71" s="2">
        <f t="shared" si="2"/>
        <v>6.53666683333333</v>
      </c>
    </row>
    <row r="72" spans="1:5">
      <c r="A72" s="1">
        <v>30.2</v>
      </c>
      <c r="B72" s="1">
        <v>2.5146</v>
      </c>
      <c r="C72" s="1">
        <v>396.23</v>
      </c>
      <c r="D72" s="2">
        <f t="shared" si="3"/>
        <v>0.00518018018018016</v>
      </c>
      <c r="E72" s="2">
        <f t="shared" si="2"/>
        <v>6.60383333333333</v>
      </c>
    </row>
    <row r="73" spans="1:5">
      <c r="A73" s="1">
        <v>30.3</v>
      </c>
      <c r="B73" s="1">
        <v>2.5229</v>
      </c>
      <c r="C73" s="1">
        <v>401.06001</v>
      </c>
      <c r="D73" s="2">
        <f t="shared" si="3"/>
        <v>0.00525495495495493</v>
      </c>
      <c r="E73" s="2">
        <f t="shared" si="2"/>
        <v>6.6843335</v>
      </c>
    </row>
    <row r="74" spans="1:5">
      <c r="A74" s="1">
        <v>30.4</v>
      </c>
      <c r="B74" s="1">
        <v>2.5312</v>
      </c>
      <c r="C74" s="1">
        <v>405.09</v>
      </c>
      <c r="D74" s="2">
        <f t="shared" si="3"/>
        <v>0.0053297297297297</v>
      </c>
      <c r="E74" s="2">
        <f t="shared" si="2"/>
        <v>6.7515</v>
      </c>
    </row>
    <row r="75" spans="1:5">
      <c r="A75" s="1">
        <v>30.5</v>
      </c>
      <c r="B75" s="1">
        <v>2.5395</v>
      </c>
      <c r="C75" s="1">
        <v>409.10999</v>
      </c>
      <c r="D75" s="2">
        <f t="shared" si="3"/>
        <v>0.00540450450450448</v>
      </c>
      <c r="E75" s="2">
        <f t="shared" si="2"/>
        <v>6.81849983333333</v>
      </c>
    </row>
    <row r="76" spans="1:5">
      <c r="A76" s="1">
        <v>30.6</v>
      </c>
      <c r="B76" s="1">
        <v>2.5479</v>
      </c>
      <c r="C76" s="1">
        <v>413.14001</v>
      </c>
      <c r="D76" s="2">
        <f t="shared" si="3"/>
        <v>0.00548018018018015</v>
      </c>
      <c r="E76" s="2">
        <f t="shared" si="2"/>
        <v>6.88566683333333</v>
      </c>
    </row>
    <row r="77" spans="1:5">
      <c r="A77" s="1">
        <v>30.7</v>
      </c>
      <c r="B77" s="1">
        <v>2.5562</v>
      </c>
      <c r="C77" s="1">
        <v>417.17</v>
      </c>
      <c r="D77" s="2">
        <f t="shared" si="3"/>
        <v>0.00555495495495493</v>
      </c>
      <c r="E77" s="2">
        <f t="shared" si="2"/>
        <v>6.95283333333333</v>
      </c>
    </row>
    <row r="78" spans="1:5">
      <c r="A78" s="1">
        <v>30.8</v>
      </c>
      <c r="B78" s="1">
        <v>2.5646</v>
      </c>
      <c r="C78" s="1">
        <v>421.18999</v>
      </c>
      <c r="D78" s="2">
        <f t="shared" si="3"/>
        <v>0.0056306306306306</v>
      </c>
      <c r="E78" s="2">
        <f t="shared" si="2"/>
        <v>7.01983316666667</v>
      </c>
    </row>
    <row r="79" spans="1:5">
      <c r="A79" s="1">
        <v>30.9</v>
      </c>
      <c r="B79" s="1">
        <v>2.5729</v>
      </c>
      <c r="C79" s="1">
        <v>425.22001</v>
      </c>
      <c r="D79" s="2">
        <f t="shared" si="3"/>
        <v>0.00570540540540538</v>
      </c>
      <c r="E79" s="2">
        <f t="shared" si="2"/>
        <v>7.08700016666667</v>
      </c>
    </row>
    <row r="80" spans="1:5">
      <c r="A80" s="1">
        <v>31</v>
      </c>
      <c r="B80" s="1">
        <v>2.5812</v>
      </c>
      <c r="C80" s="1">
        <v>429.25</v>
      </c>
      <c r="D80" s="2">
        <f t="shared" si="3"/>
        <v>0.00578018018018015</v>
      </c>
      <c r="E80" s="2">
        <f t="shared" si="2"/>
        <v>7.15416666666667</v>
      </c>
    </row>
    <row r="81" spans="1:5">
      <c r="A81" s="1">
        <v>31.1</v>
      </c>
      <c r="B81" s="1">
        <v>2.5896</v>
      </c>
      <c r="C81" s="1">
        <v>433.26999</v>
      </c>
      <c r="D81" s="2">
        <f t="shared" si="3"/>
        <v>0.00585585585585583</v>
      </c>
      <c r="E81" s="2">
        <f t="shared" si="2"/>
        <v>7.2211665</v>
      </c>
    </row>
    <row r="82" spans="1:5">
      <c r="A82" s="1">
        <v>31.2</v>
      </c>
      <c r="B82" s="1">
        <v>2.5979</v>
      </c>
      <c r="C82" s="1">
        <v>437.30001</v>
      </c>
      <c r="D82" s="2">
        <f t="shared" si="3"/>
        <v>0.0059306306306306</v>
      </c>
      <c r="E82" s="2">
        <f t="shared" si="2"/>
        <v>7.2883335</v>
      </c>
    </row>
    <row r="83" spans="1:5">
      <c r="A83" s="1">
        <v>31.3</v>
      </c>
      <c r="B83" s="1">
        <v>2.6062</v>
      </c>
      <c r="C83" s="1">
        <v>441.33</v>
      </c>
      <c r="D83" s="2">
        <f t="shared" si="3"/>
        <v>0.00600540540540538</v>
      </c>
      <c r="E83" s="2">
        <f t="shared" si="2"/>
        <v>7.3555</v>
      </c>
    </row>
    <row r="84" spans="1:5">
      <c r="A84" s="1">
        <v>31.4</v>
      </c>
      <c r="B84" s="1">
        <v>2.6145</v>
      </c>
      <c r="C84" s="1">
        <v>445.34999</v>
      </c>
      <c r="D84" s="2">
        <f t="shared" si="3"/>
        <v>0.00608018018018015</v>
      </c>
      <c r="E84" s="2">
        <f t="shared" si="2"/>
        <v>7.42249983333333</v>
      </c>
    </row>
    <row r="85" spans="1:5">
      <c r="A85" s="1">
        <v>31.5</v>
      </c>
      <c r="B85" s="1">
        <v>2.6229</v>
      </c>
      <c r="C85" s="1">
        <v>449.38001</v>
      </c>
      <c r="D85" s="2">
        <f t="shared" si="3"/>
        <v>0.00615585585585583</v>
      </c>
      <c r="E85" s="2">
        <f t="shared" si="2"/>
        <v>7.48966683333333</v>
      </c>
    </row>
    <row r="86" spans="1:5">
      <c r="A86" s="1">
        <v>31.6</v>
      </c>
      <c r="B86" s="1">
        <v>2.6312</v>
      </c>
      <c r="C86" s="1">
        <v>452.6</v>
      </c>
      <c r="D86" s="2">
        <f t="shared" si="3"/>
        <v>0.0062306306306306</v>
      </c>
      <c r="E86" s="2">
        <f t="shared" si="2"/>
        <v>7.54333333333333</v>
      </c>
    </row>
    <row r="87" spans="1:5">
      <c r="A87" s="1">
        <v>31.7</v>
      </c>
      <c r="B87" s="1">
        <v>2.6396</v>
      </c>
      <c r="C87" s="1">
        <v>456.62999</v>
      </c>
      <c r="D87" s="2">
        <f t="shared" si="3"/>
        <v>0.00630630630630628</v>
      </c>
      <c r="E87" s="2">
        <f t="shared" si="2"/>
        <v>7.61049983333333</v>
      </c>
    </row>
    <row r="88" spans="1:5">
      <c r="A88" s="1">
        <v>31.8</v>
      </c>
      <c r="B88" s="1">
        <v>2.6479</v>
      </c>
      <c r="C88" s="1">
        <v>460.66001</v>
      </c>
      <c r="D88" s="2">
        <f t="shared" si="3"/>
        <v>0.00638108108108105</v>
      </c>
      <c r="E88" s="2">
        <f t="shared" si="2"/>
        <v>7.67766683333333</v>
      </c>
    </row>
    <row r="89" spans="1:5">
      <c r="A89" s="1">
        <v>31.9</v>
      </c>
      <c r="B89" s="1">
        <v>2.6562</v>
      </c>
      <c r="C89" s="1">
        <v>464.68</v>
      </c>
      <c r="D89" s="2">
        <f t="shared" si="3"/>
        <v>0.00645585585585583</v>
      </c>
      <c r="E89" s="2">
        <f t="shared" si="2"/>
        <v>7.74466666666667</v>
      </c>
    </row>
    <row r="90" spans="1:5">
      <c r="A90" s="1">
        <v>32</v>
      </c>
      <c r="B90" s="1">
        <v>2.6646</v>
      </c>
      <c r="C90" s="1">
        <v>467.89999</v>
      </c>
      <c r="D90" s="2">
        <f t="shared" si="3"/>
        <v>0.00653153153153151</v>
      </c>
      <c r="E90" s="2">
        <f t="shared" si="2"/>
        <v>7.79833316666667</v>
      </c>
    </row>
    <row r="91" spans="1:5">
      <c r="A91" s="1">
        <v>32.1</v>
      </c>
      <c r="B91" s="1">
        <v>2.6729</v>
      </c>
      <c r="C91" s="1">
        <v>471.92998</v>
      </c>
      <c r="D91" s="2">
        <f t="shared" si="3"/>
        <v>0.00660630630630628</v>
      </c>
      <c r="E91" s="2">
        <f t="shared" si="2"/>
        <v>7.86549966666667</v>
      </c>
    </row>
    <row r="92" spans="1:5">
      <c r="A92" s="1">
        <v>32.2</v>
      </c>
      <c r="B92" s="1">
        <v>2.6812</v>
      </c>
      <c r="C92" s="1">
        <v>475.96</v>
      </c>
      <c r="D92" s="2">
        <f t="shared" si="3"/>
        <v>0.00668108108108105</v>
      </c>
      <c r="E92" s="2">
        <f t="shared" si="2"/>
        <v>7.93266666666667</v>
      </c>
    </row>
    <row r="93" spans="1:5">
      <c r="A93" s="1">
        <v>32.3</v>
      </c>
      <c r="B93" s="1">
        <v>2.6895</v>
      </c>
      <c r="C93" s="1">
        <v>479.17999</v>
      </c>
      <c r="D93" s="2">
        <f t="shared" si="3"/>
        <v>0.00675585585585583</v>
      </c>
      <c r="E93" s="2">
        <f t="shared" si="2"/>
        <v>7.98633316666667</v>
      </c>
    </row>
    <row r="94" spans="1:5">
      <c r="A94" s="1">
        <v>32.4</v>
      </c>
      <c r="B94" s="1">
        <v>2.6979</v>
      </c>
      <c r="C94" s="1">
        <v>483.21001</v>
      </c>
      <c r="D94" s="2">
        <f t="shared" si="3"/>
        <v>0.0068315315315315</v>
      </c>
      <c r="E94" s="2">
        <f t="shared" si="2"/>
        <v>8.05350016666667</v>
      </c>
    </row>
    <row r="95" spans="1:5">
      <c r="A95" s="1">
        <v>32.5</v>
      </c>
      <c r="B95" s="1">
        <v>2.7062</v>
      </c>
      <c r="C95" s="1">
        <v>487.22997</v>
      </c>
      <c r="D95" s="2">
        <f t="shared" si="3"/>
        <v>0.00690630630630628</v>
      </c>
      <c r="E95" s="2">
        <f t="shared" si="2"/>
        <v>8.1204995</v>
      </c>
    </row>
    <row r="96" spans="1:5">
      <c r="A96" s="1">
        <v>32.6</v>
      </c>
      <c r="B96" s="1">
        <v>2.7146</v>
      </c>
      <c r="C96" s="1">
        <v>491.25999</v>
      </c>
      <c r="D96" s="2">
        <f t="shared" si="3"/>
        <v>0.00698198198198195</v>
      </c>
      <c r="E96" s="2">
        <f t="shared" si="2"/>
        <v>8.1876665</v>
      </c>
    </row>
    <row r="97" spans="1:5">
      <c r="A97" s="1">
        <v>32.7</v>
      </c>
      <c r="B97" s="1">
        <v>2.7229</v>
      </c>
      <c r="C97" s="1">
        <v>494.47998</v>
      </c>
      <c r="D97" s="2">
        <f t="shared" si="3"/>
        <v>0.00705675675675673</v>
      </c>
      <c r="E97" s="2">
        <f t="shared" si="2"/>
        <v>8.241333</v>
      </c>
    </row>
    <row r="98" spans="1:5">
      <c r="A98" s="1">
        <v>32.8</v>
      </c>
      <c r="B98" s="1">
        <v>2.7312</v>
      </c>
      <c r="C98" s="1">
        <v>497.69998</v>
      </c>
      <c r="D98" s="2">
        <f t="shared" si="3"/>
        <v>0.0071315315315315</v>
      </c>
      <c r="E98" s="2">
        <f t="shared" si="2"/>
        <v>8.29499966666667</v>
      </c>
    </row>
    <row r="99" spans="1:5">
      <c r="A99" s="1">
        <v>32.9</v>
      </c>
      <c r="B99" s="1">
        <v>2.7396</v>
      </c>
      <c r="C99" s="1">
        <v>501.73</v>
      </c>
      <c r="D99" s="2">
        <f t="shared" si="3"/>
        <v>0.00720720720720718</v>
      </c>
      <c r="E99" s="2">
        <f t="shared" si="2"/>
        <v>8.36216666666667</v>
      </c>
    </row>
    <row r="100" spans="1:5">
      <c r="A100" s="1">
        <v>33</v>
      </c>
      <c r="B100" s="1">
        <v>2.7479</v>
      </c>
      <c r="C100" s="1">
        <v>504.94999</v>
      </c>
      <c r="D100" s="2">
        <f t="shared" si="3"/>
        <v>0.00728198198198195</v>
      </c>
      <c r="E100" s="2">
        <f t="shared" si="2"/>
        <v>8.41583316666667</v>
      </c>
    </row>
    <row r="101" spans="1:5">
      <c r="A101" s="1">
        <v>33.1</v>
      </c>
      <c r="B101" s="1">
        <v>2.7562</v>
      </c>
      <c r="C101" s="1">
        <v>508.98001</v>
      </c>
      <c r="D101" s="2">
        <f t="shared" si="3"/>
        <v>0.00735675675675673</v>
      </c>
      <c r="E101" s="2">
        <f t="shared" si="2"/>
        <v>8.48300016666667</v>
      </c>
    </row>
    <row r="102" spans="1:5">
      <c r="A102" s="1">
        <v>33.2</v>
      </c>
      <c r="B102" s="1">
        <v>2.7645</v>
      </c>
      <c r="C102" s="1">
        <v>513.00002</v>
      </c>
      <c r="D102" s="2">
        <f t="shared" si="3"/>
        <v>0.0074315315315315</v>
      </c>
      <c r="E102" s="2">
        <f t="shared" si="2"/>
        <v>8.55000033333333</v>
      </c>
    </row>
    <row r="103" spans="1:5">
      <c r="A103" s="1">
        <v>33.3</v>
      </c>
      <c r="B103" s="1">
        <v>2.7729</v>
      </c>
      <c r="C103" s="1">
        <v>516.23002</v>
      </c>
      <c r="D103" s="2">
        <f t="shared" si="3"/>
        <v>0.00750720720720718</v>
      </c>
      <c r="E103" s="2">
        <f t="shared" si="2"/>
        <v>8.60383366666667</v>
      </c>
    </row>
    <row r="104" spans="1:5">
      <c r="A104" s="1">
        <v>33.4</v>
      </c>
      <c r="B104" s="1">
        <v>2.7812</v>
      </c>
      <c r="C104" s="1">
        <v>519.45001</v>
      </c>
      <c r="D104" s="2">
        <f t="shared" si="3"/>
        <v>0.00758198198198196</v>
      </c>
      <c r="E104" s="2">
        <f t="shared" si="2"/>
        <v>8.65750016666667</v>
      </c>
    </row>
    <row r="105" spans="1:5">
      <c r="A105" s="1">
        <v>33.5</v>
      </c>
      <c r="B105" s="1">
        <v>2.7896</v>
      </c>
      <c r="C105" s="1">
        <v>522.67</v>
      </c>
      <c r="D105" s="2">
        <f t="shared" si="3"/>
        <v>0.00765765765765763</v>
      </c>
      <c r="E105" s="2">
        <f t="shared" si="2"/>
        <v>8.71116666666667</v>
      </c>
    </row>
    <row r="106" spans="1:5">
      <c r="A106" s="1">
        <v>33.6</v>
      </c>
      <c r="B106" s="1">
        <v>2.7979</v>
      </c>
      <c r="C106" s="1">
        <v>526.70002</v>
      </c>
      <c r="D106" s="2">
        <f t="shared" si="3"/>
        <v>0.0077324324324324</v>
      </c>
      <c r="E106" s="2">
        <f t="shared" si="2"/>
        <v>8.77833366666667</v>
      </c>
    </row>
    <row r="107" spans="1:5">
      <c r="A107" s="1">
        <v>33.7</v>
      </c>
      <c r="B107" s="1">
        <v>2.8062</v>
      </c>
      <c r="C107" s="1">
        <v>529.92001</v>
      </c>
      <c r="D107" s="2">
        <f t="shared" si="3"/>
        <v>0.00780720720720718</v>
      </c>
      <c r="E107" s="2">
        <f t="shared" si="2"/>
        <v>8.83200016666667</v>
      </c>
    </row>
    <row r="108" spans="1:5">
      <c r="A108" s="1">
        <v>33.8</v>
      </c>
      <c r="B108" s="1">
        <v>2.8146</v>
      </c>
      <c r="C108" s="1">
        <v>533.93997</v>
      </c>
      <c r="D108" s="2">
        <f t="shared" si="3"/>
        <v>0.00788288288288285</v>
      </c>
      <c r="E108" s="2">
        <f t="shared" si="2"/>
        <v>8.8989995</v>
      </c>
    </row>
    <row r="109" spans="1:5">
      <c r="A109" s="1">
        <v>33.9</v>
      </c>
      <c r="B109" s="1">
        <v>2.8229</v>
      </c>
      <c r="C109" s="1">
        <v>537.16002</v>
      </c>
      <c r="D109" s="2">
        <f t="shared" si="3"/>
        <v>0.00795765765765763</v>
      </c>
      <c r="E109" s="2">
        <f t="shared" si="2"/>
        <v>8.952667</v>
      </c>
    </row>
    <row r="110" spans="1:5">
      <c r="A110" s="1">
        <v>34</v>
      </c>
      <c r="B110" s="1">
        <v>2.8312</v>
      </c>
      <c r="C110" s="1">
        <v>540.39001</v>
      </c>
      <c r="D110" s="2">
        <f t="shared" si="3"/>
        <v>0.0080324324324324</v>
      </c>
      <c r="E110" s="2">
        <f t="shared" si="2"/>
        <v>9.00650016666667</v>
      </c>
    </row>
    <row r="111" spans="1:5">
      <c r="A111" s="1">
        <v>34.1</v>
      </c>
      <c r="B111" s="1">
        <v>2.8395</v>
      </c>
      <c r="C111" s="1">
        <v>543.61001</v>
      </c>
      <c r="D111" s="2">
        <f t="shared" si="3"/>
        <v>0.00810720720720718</v>
      </c>
      <c r="E111" s="2">
        <f t="shared" si="2"/>
        <v>9.06016683333333</v>
      </c>
    </row>
    <row r="112" spans="1:5">
      <c r="A112" s="1">
        <v>34.2</v>
      </c>
      <c r="B112" s="1">
        <v>2.8479</v>
      </c>
      <c r="C112" s="1">
        <v>546.83</v>
      </c>
      <c r="D112" s="2">
        <f t="shared" si="3"/>
        <v>0.00818288288288286</v>
      </c>
      <c r="E112" s="2">
        <f t="shared" si="2"/>
        <v>9.11383333333333</v>
      </c>
    </row>
    <row r="113" spans="1:5">
      <c r="A113" s="1">
        <v>34.3</v>
      </c>
      <c r="B113" s="1">
        <v>2.8562</v>
      </c>
      <c r="C113" s="1">
        <v>550.04999</v>
      </c>
      <c r="D113" s="2">
        <f t="shared" si="3"/>
        <v>0.00825765765765763</v>
      </c>
      <c r="E113" s="2">
        <f t="shared" si="2"/>
        <v>9.16749983333333</v>
      </c>
    </row>
    <row r="114" spans="1:5">
      <c r="A114" s="1">
        <v>34.4</v>
      </c>
      <c r="B114" s="1">
        <v>2.8646</v>
      </c>
      <c r="C114" s="1">
        <v>553.26998</v>
      </c>
      <c r="D114" s="2">
        <f t="shared" si="3"/>
        <v>0.0083333333333333</v>
      </c>
      <c r="E114" s="2">
        <f t="shared" si="2"/>
        <v>9.22116633333333</v>
      </c>
    </row>
    <row r="115" spans="1:5">
      <c r="A115" s="1">
        <v>34.5</v>
      </c>
      <c r="B115" s="1">
        <v>2.8729</v>
      </c>
      <c r="C115" s="1">
        <v>556.48997</v>
      </c>
      <c r="D115" s="2">
        <f t="shared" si="3"/>
        <v>0.00840810810810808</v>
      </c>
      <c r="E115" s="2">
        <f t="shared" si="2"/>
        <v>9.27483283333333</v>
      </c>
    </row>
    <row r="116" spans="1:5">
      <c r="A116" s="1">
        <v>34.6</v>
      </c>
      <c r="B116" s="1">
        <v>2.8812</v>
      </c>
      <c r="C116" s="1">
        <v>559.71002</v>
      </c>
      <c r="D116" s="2">
        <f t="shared" si="3"/>
        <v>0.00848288288288286</v>
      </c>
      <c r="E116" s="2">
        <f t="shared" si="2"/>
        <v>9.32850033333333</v>
      </c>
    </row>
    <row r="117" spans="1:5">
      <c r="A117" s="1">
        <v>34.7</v>
      </c>
      <c r="B117" s="1">
        <v>2.8896</v>
      </c>
      <c r="C117" s="1">
        <v>562.94002</v>
      </c>
      <c r="D117" s="2">
        <f t="shared" si="3"/>
        <v>0.00855855855855853</v>
      </c>
      <c r="E117" s="2">
        <f t="shared" si="2"/>
        <v>9.38233366666667</v>
      </c>
    </row>
    <row r="118" spans="1:5">
      <c r="A118" s="1">
        <v>34.8</v>
      </c>
      <c r="B118" s="1">
        <v>2.8979</v>
      </c>
      <c r="C118" s="1">
        <v>566.16001</v>
      </c>
      <c r="D118" s="2">
        <f t="shared" si="3"/>
        <v>0.00863333333333331</v>
      </c>
      <c r="E118" s="2">
        <f t="shared" si="2"/>
        <v>9.43600016666667</v>
      </c>
    </row>
    <row r="119" spans="1:5">
      <c r="A119" s="1">
        <v>34.9</v>
      </c>
      <c r="B119" s="1">
        <v>2.9062</v>
      </c>
      <c r="C119" s="1">
        <v>569.38</v>
      </c>
      <c r="D119" s="2">
        <f t="shared" si="3"/>
        <v>0.00870810810810808</v>
      </c>
      <c r="E119" s="2">
        <f t="shared" si="2"/>
        <v>9.48966666666667</v>
      </c>
    </row>
    <row r="120" spans="1:5">
      <c r="A120" s="1">
        <v>35</v>
      </c>
      <c r="B120" s="1">
        <v>2.9145</v>
      </c>
      <c r="C120" s="1">
        <v>572.59999</v>
      </c>
      <c r="D120" s="2">
        <f t="shared" si="3"/>
        <v>0.00878288288288286</v>
      </c>
      <c r="E120" s="2">
        <f t="shared" si="2"/>
        <v>9.54333316666667</v>
      </c>
    </row>
    <row r="121" spans="1:5">
      <c r="A121" s="1">
        <v>35.1</v>
      </c>
      <c r="B121" s="1">
        <v>2.9229</v>
      </c>
      <c r="C121" s="1">
        <v>575.81998</v>
      </c>
      <c r="D121" s="2">
        <f t="shared" si="3"/>
        <v>0.00885855855855853</v>
      </c>
      <c r="E121" s="2">
        <f t="shared" si="2"/>
        <v>9.59699966666667</v>
      </c>
    </row>
    <row r="122" spans="1:5">
      <c r="A122" s="1">
        <v>35.2</v>
      </c>
      <c r="B122" s="1">
        <v>2.9312</v>
      </c>
      <c r="C122" s="1">
        <v>578.24001</v>
      </c>
      <c r="D122" s="2">
        <f t="shared" si="3"/>
        <v>0.00893333333333331</v>
      </c>
      <c r="E122" s="2">
        <f t="shared" si="2"/>
        <v>9.6373335</v>
      </c>
    </row>
    <row r="123" spans="1:5">
      <c r="A123" s="1">
        <v>35.3</v>
      </c>
      <c r="B123" s="1">
        <v>2.9396</v>
      </c>
      <c r="C123" s="1">
        <v>581.46</v>
      </c>
      <c r="D123" s="2">
        <f t="shared" si="3"/>
        <v>0.00900900900900898</v>
      </c>
      <c r="E123" s="2">
        <f t="shared" si="2"/>
        <v>9.691</v>
      </c>
    </row>
    <row r="124" spans="1:5">
      <c r="A124" s="1">
        <v>35.4</v>
      </c>
      <c r="B124" s="1">
        <v>2.9479</v>
      </c>
      <c r="C124" s="1">
        <v>584.67999</v>
      </c>
      <c r="D124" s="2">
        <f t="shared" si="3"/>
        <v>0.00908378378378376</v>
      </c>
      <c r="E124" s="2">
        <f t="shared" si="2"/>
        <v>9.7446665</v>
      </c>
    </row>
    <row r="125" spans="1:5">
      <c r="A125" s="1">
        <v>35.5</v>
      </c>
      <c r="B125" s="1">
        <v>2.9562</v>
      </c>
      <c r="C125" s="1">
        <v>587.10001</v>
      </c>
      <c r="D125" s="2">
        <f t="shared" si="3"/>
        <v>0.00915855855855853</v>
      </c>
      <c r="E125" s="2">
        <f t="shared" si="2"/>
        <v>9.78500016666667</v>
      </c>
    </row>
    <row r="126" spans="1:5">
      <c r="A126" s="1">
        <v>35.6</v>
      </c>
      <c r="B126" s="1">
        <v>2.9646</v>
      </c>
      <c r="C126" s="1">
        <v>590.32001</v>
      </c>
      <c r="D126" s="2">
        <f t="shared" si="3"/>
        <v>0.00923423423423421</v>
      </c>
      <c r="E126" s="2">
        <f t="shared" si="2"/>
        <v>9.83866683333333</v>
      </c>
    </row>
    <row r="127" spans="1:5">
      <c r="A127" s="1">
        <v>35.7</v>
      </c>
      <c r="B127" s="1">
        <v>2.9729</v>
      </c>
      <c r="C127" s="1">
        <v>592.73003</v>
      </c>
      <c r="D127" s="2">
        <f t="shared" si="3"/>
        <v>0.00930900900900898</v>
      </c>
      <c r="E127" s="2">
        <f t="shared" si="2"/>
        <v>9.87883383333333</v>
      </c>
    </row>
    <row r="128" spans="1:5">
      <c r="A128" s="1">
        <v>35.8</v>
      </c>
      <c r="B128" s="1">
        <v>2.9812</v>
      </c>
      <c r="C128" s="1">
        <v>595.96002</v>
      </c>
      <c r="D128" s="2">
        <f t="shared" si="3"/>
        <v>0.00938378378378376</v>
      </c>
      <c r="E128" s="2">
        <f t="shared" si="2"/>
        <v>9.932667</v>
      </c>
    </row>
    <row r="129" spans="1:5">
      <c r="A129" s="1">
        <v>35.9</v>
      </c>
      <c r="B129" s="1">
        <v>2.9895</v>
      </c>
      <c r="C129" s="1">
        <v>598.36999</v>
      </c>
      <c r="D129" s="2">
        <f t="shared" si="3"/>
        <v>0.00945855855855853</v>
      </c>
      <c r="E129" s="2">
        <f t="shared" si="2"/>
        <v>9.97283316666667</v>
      </c>
    </row>
    <row r="130" spans="1:5">
      <c r="A130" s="1">
        <v>36</v>
      </c>
      <c r="B130" s="1">
        <v>2.9979</v>
      </c>
      <c r="C130" s="1">
        <v>600.79001</v>
      </c>
      <c r="D130" s="2">
        <f t="shared" si="3"/>
        <v>0.00953423423423421</v>
      </c>
      <c r="E130" s="2">
        <f t="shared" si="2"/>
        <v>10.0131668333333</v>
      </c>
    </row>
    <row r="131" spans="1:5">
      <c r="A131" s="1">
        <v>36.1</v>
      </c>
      <c r="B131" s="1">
        <v>3.0062</v>
      </c>
      <c r="C131" s="1">
        <v>603.19997</v>
      </c>
      <c r="D131" s="2">
        <f t="shared" si="3"/>
        <v>0.00960900900900898</v>
      </c>
      <c r="E131" s="2">
        <f t="shared" ref="E131:E194" si="4">C131/$L$4</f>
        <v>10.0533328333333</v>
      </c>
    </row>
    <row r="132" spans="1:5">
      <c r="A132" s="1">
        <v>36.2</v>
      </c>
      <c r="B132" s="1">
        <v>3.0145</v>
      </c>
      <c r="C132" s="1">
        <v>606.43002</v>
      </c>
      <c r="D132" s="2">
        <f t="shared" ref="D132:D195" si="5">((B132/$L$3))-0.0174738738738739</f>
        <v>0.00968378378378375</v>
      </c>
      <c r="E132" s="2">
        <f t="shared" si="4"/>
        <v>10.107167</v>
      </c>
    </row>
    <row r="133" spans="1:5">
      <c r="A133" s="1">
        <v>36.3</v>
      </c>
      <c r="B133" s="1">
        <v>3.0229</v>
      </c>
      <c r="C133" s="1">
        <v>608.83999</v>
      </c>
      <c r="D133" s="2">
        <f t="shared" si="5"/>
        <v>0.00975945945945943</v>
      </c>
      <c r="E133" s="2">
        <f t="shared" si="4"/>
        <v>10.1473331666667</v>
      </c>
    </row>
    <row r="134" spans="1:5">
      <c r="A134" s="1">
        <v>36.4</v>
      </c>
      <c r="B134" s="1">
        <v>3.0312</v>
      </c>
      <c r="C134" s="1">
        <v>611.26001</v>
      </c>
      <c r="D134" s="2">
        <f t="shared" si="5"/>
        <v>0.00983423423423421</v>
      </c>
      <c r="E134" s="2">
        <f t="shared" si="4"/>
        <v>10.1876668333333</v>
      </c>
    </row>
    <row r="135" spans="1:5">
      <c r="A135" s="1">
        <v>36.5</v>
      </c>
      <c r="B135" s="1">
        <v>3.0396</v>
      </c>
      <c r="C135" s="1">
        <v>613.66998</v>
      </c>
      <c r="D135" s="2">
        <f t="shared" si="5"/>
        <v>0.00990990990990988</v>
      </c>
      <c r="E135" s="2">
        <f t="shared" si="4"/>
        <v>10.227833</v>
      </c>
    </row>
    <row r="136" spans="1:5">
      <c r="A136" s="1">
        <v>36.6</v>
      </c>
      <c r="B136" s="1">
        <v>3.0479</v>
      </c>
      <c r="C136" s="1">
        <v>616.09</v>
      </c>
      <c r="D136" s="2">
        <f t="shared" si="5"/>
        <v>0.00998468468468466</v>
      </c>
      <c r="E136" s="2">
        <f t="shared" si="4"/>
        <v>10.2681666666667</v>
      </c>
    </row>
    <row r="137" spans="1:5">
      <c r="A137" s="1">
        <v>36.7</v>
      </c>
      <c r="B137" s="1">
        <v>3.0562</v>
      </c>
      <c r="C137" s="1">
        <v>617.7</v>
      </c>
      <c r="D137" s="2">
        <f t="shared" si="5"/>
        <v>0.0100594594594594</v>
      </c>
      <c r="E137" s="2">
        <f t="shared" si="4"/>
        <v>10.295</v>
      </c>
    </row>
    <row r="138" spans="1:5">
      <c r="A138" s="1">
        <v>36.8</v>
      </c>
      <c r="B138" s="1">
        <v>3.0645</v>
      </c>
      <c r="C138" s="1">
        <v>619.30999</v>
      </c>
      <c r="D138" s="2">
        <f t="shared" si="5"/>
        <v>0.0101342342342342</v>
      </c>
      <c r="E138" s="2">
        <f t="shared" si="4"/>
        <v>10.3218331666667</v>
      </c>
    </row>
    <row r="139" spans="1:5">
      <c r="A139" s="1">
        <v>36.9</v>
      </c>
      <c r="B139" s="1">
        <v>3.0729</v>
      </c>
      <c r="C139" s="1">
        <v>621.73001</v>
      </c>
      <c r="D139" s="2">
        <f t="shared" si="5"/>
        <v>0.0102099099099099</v>
      </c>
      <c r="E139" s="2">
        <f t="shared" si="4"/>
        <v>10.3621668333333</v>
      </c>
    </row>
    <row r="140" spans="1:5">
      <c r="A140" s="1">
        <v>37</v>
      </c>
      <c r="B140" s="1">
        <v>3.0812</v>
      </c>
      <c r="C140" s="1">
        <v>624.13998</v>
      </c>
      <c r="D140" s="2">
        <f t="shared" si="5"/>
        <v>0.0102846846846847</v>
      </c>
      <c r="E140" s="2">
        <f t="shared" si="4"/>
        <v>10.402333</v>
      </c>
    </row>
    <row r="141" spans="1:5">
      <c r="A141" s="1">
        <v>37.1</v>
      </c>
      <c r="B141" s="1">
        <v>3.0895</v>
      </c>
      <c r="C141" s="1">
        <v>625.74998</v>
      </c>
      <c r="D141" s="2">
        <f t="shared" si="5"/>
        <v>0.0103594594594594</v>
      </c>
      <c r="E141" s="2">
        <f t="shared" si="4"/>
        <v>10.4291663333333</v>
      </c>
    </row>
    <row r="142" spans="1:5">
      <c r="A142" s="1">
        <v>37.2</v>
      </c>
      <c r="B142" s="1">
        <v>3.0979</v>
      </c>
      <c r="C142" s="1">
        <v>628.17</v>
      </c>
      <c r="D142" s="2">
        <f t="shared" si="5"/>
        <v>0.0104351351351351</v>
      </c>
      <c r="E142" s="2">
        <f t="shared" si="4"/>
        <v>10.4695</v>
      </c>
    </row>
    <row r="143" spans="1:5">
      <c r="A143" s="1">
        <v>37.3</v>
      </c>
      <c r="B143" s="1">
        <v>3.1062</v>
      </c>
      <c r="C143" s="1">
        <v>629.77999</v>
      </c>
      <c r="D143" s="2">
        <f t="shared" si="5"/>
        <v>0.0105099099099099</v>
      </c>
      <c r="E143" s="2">
        <f t="shared" si="4"/>
        <v>10.4963331666667</v>
      </c>
    </row>
    <row r="144" spans="1:5">
      <c r="A144" s="1">
        <v>37.4</v>
      </c>
      <c r="B144" s="1">
        <v>3.1146</v>
      </c>
      <c r="C144" s="1">
        <v>632.20002</v>
      </c>
      <c r="D144" s="2">
        <f t="shared" si="5"/>
        <v>0.0105855855855856</v>
      </c>
      <c r="E144" s="2">
        <f t="shared" si="4"/>
        <v>10.536667</v>
      </c>
    </row>
    <row r="145" spans="1:5">
      <c r="A145" s="1">
        <v>37.5</v>
      </c>
      <c r="B145" s="1">
        <v>3.1229</v>
      </c>
      <c r="C145" s="1">
        <v>633.81001</v>
      </c>
      <c r="D145" s="2">
        <f t="shared" si="5"/>
        <v>0.0106603603603603</v>
      </c>
      <c r="E145" s="2">
        <f t="shared" si="4"/>
        <v>10.5635001666667</v>
      </c>
    </row>
    <row r="146" spans="1:5">
      <c r="A146" s="1">
        <v>37.6</v>
      </c>
      <c r="B146" s="1">
        <v>3.1312</v>
      </c>
      <c r="C146" s="1">
        <v>636.21998</v>
      </c>
      <c r="D146" s="2">
        <f t="shared" si="5"/>
        <v>0.0107351351351351</v>
      </c>
      <c r="E146" s="2">
        <f t="shared" si="4"/>
        <v>10.6036663333333</v>
      </c>
    </row>
    <row r="147" spans="1:5">
      <c r="A147" s="1">
        <v>37.7</v>
      </c>
      <c r="B147" s="1">
        <v>3.1395</v>
      </c>
      <c r="C147" s="1">
        <v>637.82997</v>
      </c>
      <c r="D147" s="2">
        <f t="shared" si="5"/>
        <v>0.0108099099099099</v>
      </c>
      <c r="E147" s="2">
        <f t="shared" si="4"/>
        <v>10.6304995</v>
      </c>
    </row>
    <row r="148" spans="1:5">
      <c r="A148" s="1">
        <v>37.8</v>
      </c>
      <c r="B148" s="1">
        <v>3.1479</v>
      </c>
      <c r="C148" s="1">
        <v>638.64</v>
      </c>
      <c r="D148" s="2">
        <f t="shared" si="5"/>
        <v>0.0108855855855856</v>
      </c>
      <c r="E148" s="2">
        <f t="shared" si="4"/>
        <v>10.644</v>
      </c>
    </row>
    <row r="149" spans="1:5">
      <c r="A149" s="1">
        <v>37.9</v>
      </c>
      <c r="B149" s="1">
        <v>3.1562</v>
      </c>
      <c r="C149" s="1">
        <v>641.06002</v>
      </c>
      <c r="D149" s="2">
        <f t="shared" si="5"/>
        <v>0.0109603603603603</v>
      </c>
      <c r="E149" s="2">
        <f t="shared" si="4"/>
        <v>10.6843336666667</v>
      </c>
    </row>
    <row r="150" spans="1:5">
      <c r="A150" s="1">
        <v>38</v>
      </c>
      <c r="B150" s="1">
        <v>3.1645</v>
      </c>
      <c r="C150" s="1">
        <v>642.67002</v>
      </c>
      <c r="D150" s="2">
        <f t="shared" si="5"/>
        <v>0.0110351351351351</v>
      </c>
      <c r="E150" s="2">
        <f t="shared" si="4"/>
        <v>10.711167</v>
      </c>
    </row>
    <row r="151" spans="1:5">
      <c r="A151" s="1">
        <v>38.1</v>
      </c>
      <c r="B151" s="1">
        <v>3.1729</v>
      </c>
      <c r="C151" s="1">
        <v>643.46999</v>
      </c>
      <c r="D151" s="2">
        <f t="shared" si="5"/>
        <v>0.0111108108108108</v>
      </c>
      <c r="E151" s="2">
        <f t="shared" si="4"/>
        <v>10.7244998333333</v>
      </c>
    </row>
    <row r="152" spans="1:5">
      <c r="A152" s="1">
        <v>38.2</v>
      </c>
      <c r="B152" s="1">
        <v>3.1812</v>
      </c>
      <c r="C152" s="1">
        <v>645.07999</v>
      </c>
      <c r="D152" s="2">
        <f t="shared" si="5"/>
        <v>0.0111855855855856</v>
      </c>
      <c r="E152" s="2">
        <f t="shared" si="4"/>
        <v>10.7513331666667</v>
      </c>
    </row>
    <row r="153" spans="1:5">
      <c r="A153" s="1">
        <v>38.3</v>
      </c>
      <c r="B153" s="1">
        <v>3.1896</v>
      </c>
      <c r="C153" s="1">
        <v>646.68998</v>
      </c>
      <c r="D153" s="2">
        <f t="shared" si="5"/>
        <v>0.0112612612612612</v>
      </c>
      <c r="E153" s="2">
        <f t="shared" si="4"/>
        <v>10.7781663333333</v>
      </c>
    </row>
    <row r="154" spans="1:5">
      <c r="A154" s="1">
        <v>38.4</v>
      </c>
      <c r="B154" s="1">
        <v>3.1979</v>
      </c>
      <c r="C154" s="1">
        <v>648.29998</v>
      </c>
      <c r="D154" s="2">
        <f t="shared" si="5"/>
        <v>0.011336036036036</v>
      </c>
      <c r="E154" s="2">
        <f t="shared" si="4"/>
        <v>10.8049996666667</v>
      </c>
    </row>
    <row r="155" spans="1:5">
      <c r="A155" s="1">
        <v>38.5</v>
      </c>
      <c r="B155" s="1">
        <v>3.2062</v>
      </c>
      <c r="C155" s="1">
        <v>649.11</v>
      </c>
      <c r="D155" s="2">
        <f t="shared" si="5"/>
        <v>0.0114108108108108</v>
      </c>
      <c r="E155" s="2">
        <f t="shared" si="4"/>
        <v>10.8185</v>
      </c>
    </row>
    <row r="156" spans="1:5">
      <c r="A156" s="1">
        <v>38.6</v>
      </c>
      <c r="B156" s="1">
        <v>3.2145</v>
      </c>
      <c r="C156" s="1">
        <v>649.90997</v>
      </c>
      <c r="D156" s="2">
        <f t="shared" si="5"/>
        <v>0.0114855855855856</v>
      </c>
      <c r="E156" s="2">
        <f t="shared" si="4"/>
        <v>10.8318328333333</v>
      </c>
    </row>
    <row r="157" spans="1:5">
      <c r="A157" s="1">
        <v>38.7</v>
      </c>
      <c r="B157" s="1">
        <v>3.2229</v>
      </c>
      <c r="C157" s="1">
        <v>650.72</v>
      </c>
      <c r="D157" s="2">
        <f t="shared" si="5"/>
        <v>0.0115612612612612</v>
      </c>
      <c r="E157" s="2">
        <f t="shared" si="4"/>
        <v>10.8453333333333</v>
      </c>
    </row>
    <row r="158" spans="1:5">
      <c r="A158" s="1">
        <v>38.8</v>
      </c>
      <c r="B158" s="1">
        <v>3.2312</v>
      </c>
      <c r="C158" s="1">
        <v>652.33</v>
      </c>
      <c r="D158" s="2">
        <f t="shared" si="5"/>
        <v>0.011636036036036</v>
      </c>
      <c r="E158" s="2">
        <f t="shared" si="4"/>
        <v>10.8721666666667</v>
      </c>
    </row>
    <row r="159" spans="1:5">
      <c r="A159" s="1">
        <v>38.9</v>
      </c>
      <c r="B159" s="1">
        <v>3.2395</v>
      </c>
      <c r="C159" s="1">
        <v>653.14002</v>
      </c>
      <c r="D159" s="2">
        <f t="shared" si="5"/>
        <v>0.0117108108108108</v>
      </c>
      <c r="E159" s="2">
        <f t="shared" si="4"/>
        <v>10.885667</v>
      </c>
    </row>
    <row r="160" spans="1:5">
      <c r="A160" s="1">
        <v>39</v>
      </c>
      <c r="B160" s="1">
        <v>3.2479</v>
      </c>
      <c r="C160" s="1">
        <v>653.93999</v>
      </c>
      <c r="D160" s="2">
        <f t="shared" si="5"/>
        <v>0.0117864864864865</v>
      </c>
      <c r="E160" s="2">
        <f t="shared" si="4"/>
        <v>10.8989998333333</v>
      </c>
    </row>
    <row r="161" spans="1:5">
      <c r="A161" s="1">
        <v>39.1</v>
      </c>
      <c r="B161" s="1">
        <v>3.2562</v>
      </c>
      <c r="C161" s="1">
        <v>653.93999</v>
      </c>
      <c r="D161" s="2">
        <f t="shared" si="5"/>
        <v>0.0118612612612612</v>
      </c>
      <c r="E161" s="2">
        <f t="shared" si="4"/>
        <v>10.8989998333333</v>
      </c>
    </row>
    <row r="162" spans="1:5">
      <c r="A162" s="1">
        <v>39.2</v>
      </c>
      <c r="B162" s="1">
        <v>3.2646</v>
      </c>
      <c r="C162" s="1">
        <v>654.75002</v>
      </c>
      <c r="D162" s="2">
        <f t="shared" si="5"/>
        <v>0.0119369369369369</v>
      </c>
      <c r="E162" s="2">
        <f t="shared" si="4"/>
        <v>10.9125003333333</v>
      </c>
    </row>
    <row r="163" spans="1:5">
      <c r="A163" s="1">
        <v>39.3</v>
      </c>
      <c r="B163" s="1">
        <v>3.2729</v>
      </c>
      <c r="C163" s="1">
        <v>654.75002</v>
      </c>
      <c r="D163" s="2">
        <f t="shared" si="5"/>
        <v>0.0120117117117117</v>
      </c>
      <c r="E163" s="2">
        <f t="shared" si="4"/>
        <v>10.9125003333333</v>
      </c>
    </row>
    <row r="164" spans="1:5">
      <c r="A164" s="1">
        <v>39.4</v>
      </c>
      <c r="B164" s="1">
        <v>3.2812</v>
      </c>
      <c r="C164" s="1">
        <v>655.54999</v>
      </c>
      <c r="D164" s="2">
        <f t="shared" si="5"/>
        <v>0.0120864864864865</v>
      </c>
      <c r="E164" s="2">
        <f t="shared" si="4"/>
        <v>10.9258331666667</v>
      </c>
    </row>
    <row r="165" spans="1:5">
      <c r="A165" s="1">
        <v>39.5</v>
      </c>
      <c r="B165" s="1">
        <v>3.2895</v>
      </c>
      <c r="C165" s="1">
        <v>656.36002</v>
      </c>
      <c r="D165" s="2">
        <f t="shared" si="5"/>
        <v>0.0121612612612612</v>
      </c>
      <c r="E165" s="2">
        <f t="shared" si="4"/>
        <v>10.9393336666667</v>
      </c>
    </row>
    <row r="166" spans="1:5">
      <c r="A166" s="1">
        <v>39.6</v>
      </c>
      <c r="B166" s="1">
        <v>3.2979</v>
      </c>
      <c r="C166" s="1">
        <v>656.36002</v>
      </c>
      <c r="D166" s="2">
        <f t="shared" si="5"/>
        <v>0.0122369369369369</v>
      </c>
      <c r="E166" s="2">
        <f t="shared" si="4"/>
        <v>10.9393336666667</v>
      </c>
    </row>
    <row r="167" spans="1:5">
      <c r="A167" s="1">
        <v>39.7</v>
      </c>
      <c r="B167" s="1">
        <v>3.3062</v>
      </c>
      <c r="C167" s="1">
        <v>656.36002</v>
      </c>
      <c r="D167" s="2">
        <f t="shared" si="5"/>
        <v>0.0123117117117117</v>
      </c>
      <c r="E167" s="2">
        <f t="shared" si="4"/>
        <v>10.9393336666667</v>
      </c>
    </row>
    <row r="168" spans="1:5">
      <c r="A168" s="1">
        <v>39.8</v>
      </c>
      <c r="B168" s="1">
        <v>3.3145</v>
      </c>
      <c r="C168" s="1">
        <v>657.15998</v>
      </c>
      <c r="D168" s="2">
        <f t="shared" si="5"/>
        <v>0.0123864864864865</v>
      </c>
      <c r="E168" s="2">
        <f t="shared" si="4"/>
        <v>10.9526663333333</v>
      </c>
    </row>
    <row r="169" spans="1:5">
      <c r="A169" s="1">
        <v>39.9</v>
      </c>
      <c r="B169" s="1">
        <v>3.3229</v>
      </c>
      <c r="C169" s="1">
        <v>657.15998</v>
      </c>
      <c r="D169" s="2">
        <f t="shared" si="5"/>
        <v>0.0124621621621621</v>
      </c>
      <c r="E169" s="2">
        <f t="shared" si="4"/>
        <v>10.9526663333333</v>
      </c>
    </row>
    <row r="170" spans="1:5">
      <c r="A170" s="1">
        <v>40</v>
      </c>
      <c r="B170" s="1">
        <v>3.3312</v>
      </c>
      <c r="C170" s="1">
        <v>657.15998</v>
      </c>
      <c r="D170" s="2">
        <f t="shared" si="5"/>
        <v>0.0125369369369369</v>
      </c>
      <c r="E170" s="2">
        <f t="shared" si="4"/>
        <v>10.9526663333333</v>
      </c>
    </row>
    <row r="171" spans="1:5">
      <c r="A171" s="1">
        <v>40.1</v>
      </c>
      <c r="B171" s="1">
        <v>3.3396</v>
      </c>
      <c r="C171" s="1">
        <v>656.36002</v>
      </c>
      <c r="D171" s="2">
        <f t="shared" si="5"/>
        <v>0.0126126126126126</v>
      </c>
      <c r="E171" s="2">
        <f t="shared" si="4"/>
        <v>10.9393336666667</v>
      </c>
    </row>
    <row r="172" spans="1:5">
      <c r="A172" s="1">
        <v>40.2</v>
      </c>
      <c r="B172" s="1">
        <v>3.3479</v>
      </c>
      <c r="C172" s="1">
        <v>656.36002</v>
      </c>
      <c r="D172" s="2">
        <f t="shared" si="5"/>
        <v>0.0126873873873874</v>
      </c>
      <c r="E172" s="2">
        <f t="shared" si="4"/>
        <v>10.9393336666667</v>
      </c>
    </row>
    <row r="173" spans="1:5">
      <c r="A173" s="1">
        <v>40.3</v>
      </c>
      <c r="B173" s="1">
        <v>3.3562</v>
      </c>
      <c r="C173" s="1">
        <v>655.54999</v>
      </c>
      <c r="D173" s="2">
        <f t="shared" si="5"/>
        <v>0.0127621621621621</v>
      </c>
      <c r="E173" s="2">
        <f t="shared" si="4"/>
        <v>10.9258331666667</v>
      </c>
    </row>
    <row r="174" spans="1:5">
      <c r="A174" s="1">
        <v>40.4</v>
      </c>
      <c r="B174" s="1">
        <v>3.3645</v>
      </c>
      <c r="C174" s="1">
        <v>655.54999</v>
      </c>
      <c r="D174" s="2">
        <f t="shared" si="5"/>
        <v>0.0128369369369369</v>
      </c>
      <c r="E174" s="2">
        <f t="shared" si="4"/>
        <v>10.9258331666667</v>
      </c>
    </row>
    <row r="175" spans="1:5">
      <c r="A175" s="1">
        <v>40.5</v>
      </c>
      <c r="B175" s="1">
        <v>3.3729</v>
      </c>
      <c r="C175" s="1">
        <v>654.75002</v>
      </c>
      <c r="D175" s="2">
        <f t="shared" si="5"/>
        <v>0.0129126126126126</v>
      </c>
      <c r="E175" s="2">
        <f t="shared" si="4"/>
        <v>10.9125003333333</v>
      </c>
    </row>
    <row r="176" spans="1:5">
      <c r="A176" s="1">
        <v>40.6</v>
      </c>
      <c r="B176" s="1">
        <v>3.3812</v>
      </c>
      <c r="C176" s="1">
        <v>654.75002</v>
      </c>
      <c r="D176" s="2">
        <f t="shared" si="5"/>
        <v>0.0129873873873874</v>
      </c>
      <c r="E176" s="2">
        <f t="shared" si="4"/>
        <v>10.9125003333333</v>
      </c>
    </row>
    <row r="177" spans="1:5">
      <c r="A177" s="1">
        <v>40.7</v>
      </c>
      <c r="B177" s="1">
        <v>3.3895</v>
      </c>
      <c r="C177" s="1">
        <v>653.93999</v>
      </c>
      <c r="D177" s="2">
        <f t="shared" si="5"/>
        <v>0.0130621621621621</v>
      </c>
      <c r="E177" s="2">
        <f t="shared" si="4"/>
        <v>10.8989998333333</v>
      </c>
    </row>
    <row r="178" spans="1:5">
      <c r="A178" s="1">
        <v>40.8</v>
      </c>
      <c r="B178" s="1">
        <v>3.3979</v>
      </c>
      <c r="C178" s="1">
        <v>653.14002</v>
      </c>
      <c r="D178" s="2">
        <f t="shared" si="5"/>
        <v>0.0131378378378378</v>
      </c>
      <c r="E178" s="2">
        <f t="shared" si="4"/>
        <v>10.885667</v>
      </c>
    </row>
    <row r="179" spans="1:5">
      <c r="A179" s="1">
        <v>40.9</v>
      </c>
      <c r="B179" s="1">
        <v>3.4062</v>
      </c>
      <c r="C179" s="1">
        <v>652.33</v>
      </c>
      <c r="D179" s="2">
        <f t="shared" si="5"/>
        <v>0.0132126126126126</v>
      </c>
      <c r="E179" s="2">
        <f t="shared" si="4"/>
        <v>10.8721666666667</v>
      </c>
    </row>
    <row r="180" spans="1:5">
      <c r="A180" s="1">
        <v>41</v>
      </c>
      <c r="B180" s="1">
        <v>3.4146</v>
      </c>
      <c r="C180" s="1">
        <v>651.52002</v>
      </c>
      <c r="D180" s="2">
        <f t="shared" si="5"/>
        <v>0.0132882882882883</v>
      </c>
      <c r="E180" s="2">
        <f t="shared" si="4"/>
        <v>10.858667</v>
      </c>
    </row>
    <row r="181" spans="1:5">
      <c r="A181" s="1">
        <v>41.1</v>
      </c>
      <c r="B181" s="1">
        <v>3.4229</v>
      </c>
      <c r="C181" s="1">
        <v>649.90997</v>
      </c>
      <c r="D181" s="2">
        <f t="shared" si="5"/>
        <v>0.013363063063063</v>
      </c>
      <c r="E181" s="2">
        <f t="shared" si="4"/>
        <v>10.8318328333333</v>
      </c>
    </row>
    <row r="182" spans="1:5">
      <c r="A182" s="1">
        <v>41.2</v>
      </c>
      <c r="B182" s="1">
        <v>3.4312</v>
      </c>
      <c r="C182" s="1">
        <v>649.11</v>
      </c>
      <c r="D182" s="2">
        <f t="shared" si="5"/>
        <v>0.0134378378378378</v>
      </c>
      <c r="E182" s="2">
        <f t="shared" si="4"/>
        <v>10.8185</v>
      </c>
    </row>
    <row r="183" spans="1:5">
      <c r="A183" s="1">
        <v>41.3</v>
      </c>
      <c r="B183" s="1">
        <v>3.4395</v>
      </c>
      <c r="C183" s="1">
        <v>647.50001</v>
      </c>
      <c r="D183" s="2">
        <f t="shared" si="5"/>
        <v>0.0135126126126126</v>
      </c>
      <c r="E183" s="2">
        <f t="shared" si="4"/>
        <v>10.7916668333333</v>
      </c>
    </row>
    <row r="184" spans="1:5">
      <c r="A184" s="1">
        <v>41.4</v>
      </c>
      <c r="B184" s="1">
        <v>3.4479</v>
      </c>
      <c r="C184" s="1">
        <v>645.89001</v>
      </c>
      <c r="D184" s="2">
        <f t="shared" si="5"/>
        <v>0.0135882882882883</v>
      </c>
      <c r="E184" s="2">
        <f t="shared" si="4"/>
        <v>10.7648335</v>
      </c>
    </row>
    <row r="185" spans="1:5">
      <c r="A185" s="1">
        <v>41.5</v>
      </c>
      <c r="B185" s="1">
        <v>3.4562</v>
      </c>
      <c r="C185" s="1">
        <v>644.28002</v>
      </c>
      <c r="D185" s="2">
        <f t="shared" si="5"/>
        <v>0.013663063063063</v>
      </c>
      <c r="E185" s="2">
        <f t="shared" si="4"/>
        <v>10.7380003333333</v>
      </c>
    </row>
    <row r="186" spans="1:5">
      <c r="A186" s="1">
        <v>41.6</v>
      </c>
      <c r="B186" s="1">
        <v>3.4645</v>
      </c>
      <c r="C186" s="1">
        <v>642.67002</v>
      </c>
      <c r="D186" s="2">
        <f t="shared" si="5"/>
        <v>0.0137378378378378</v>
      </c>
      <c r="E186" s="2">
        <f t="shared" si="4"/>
        <v>10.711167</v>
      </c>
    </row>
    <row r="187" spans="1:5">
      <c r="A187" s="1">
        <v>41.7</v>
      </c>
      <c r="B187" s="1">
        <v>3.4729</v>
      </c>
      <c r="C187" s="1">
        <v>641.06002</v>
      </c>
      <c r="D187" s="2">
        <f t="shared" si="5"/>
        <v>0.0138135135135135</v>
      </c>
      <c r="E187" s="2">
        <f t="shared" si="4"/>
        <v>10.6843336666667</v>
      </c>
    </row>
    <row r="188" spans="1:5">
      <c r="A188" s="1">
        <v>41.8</v>
      </c>
      <c r="B188" s="1">
        <v>3.4812</v>
      </c>
      <c r="C188" s="1">
        <v>639.44003</v>
      </c>
      <c r="D188" s="2">
        <f t="shared" si="5"/>
        <v>0.0138882882882883</v>
      </c>
      <c r="E188" s="2">
        <f t="shared" si="4"/>
        <v>10.6573338333333</v>
      </c>
    </row>
    <row r="189" spans="1:5">
      <c r="A189" s="1">
        <v>41.9</v>
      </c>
      <c r="B189" s="1">
        <v>3.4896</v>
      </c>
      <c r="C189" s="1">
        <v>637.03001</v>
      </c>
      <c r="D189" s="2">
        <f t="shared" si="5"/>
        <v>0.0139639639639639</v>
      </c>
      <c r="E189" s="2">
        <f t="shared" si="4"/>
        <v>10.6171668333333</v>
      </c>
    </row>
    <row r="190" spans="1:5">
      <c r="A190" s="1">
        <v>42</v>
      </c>
      <c r="B190" s="1">
        <v>3.4979</v>
      </c>
      <c r="C190" s="1">
        <v>634.60998</v>
      </c>
      <c r="D190" s="2">
        <f t="shared" si="5"/>
        <v>0.0140387387387387</v>
      </c>
      <c r="E190" s="2">
        <f t="shared" si="4"/>
        <v>10.576833</v>
      </c>
    </row>
    <row r="191" spans="1:5">
      <c r="A191" s="1">
        <v>42.1</v>
      </c>
      <c r="B191" s="1">
        <v>3.5062</v>
      </c>
      <c r="C191" s="1">
        <v>632.99999</v>
      </c>
      <c r="D191" s="2">
        <f t="shared" si="5"/>
        <v>0.0141135135135135</v>
      </c>
      <c r="E191" s="2">
        <f t="shared" si="4"/>
        <v>10.5499998333333</v>
      </c>
    </row>
    <row r="192" spans="1:5">
      <c r="A192" s="1">
        <v>42.2</v>
      </c>
      <c r="B192" s="1">
        <v>3.5145</v>
      </c>
      <c r="C192" s="1">
        <v>630.59002</v>
      </c>
      <c r="D192" s="2">
        <f t="shared" si="5"/>
        <v>0.0141882882882883</v>
      </c>
      <c r="E192" s="2">
        <f t="shared" si="4"/>
        <v>10.5098336666667</v>
      </c>
    </row>
    <row r="193" spans="1:5">
      <c r="A193" s="1">
        <v>42.3</v>
      </c>
      <c r="B193" s="1">
        <v>3.5228</v>
      </c>
      <c r="C193" s="1">
        <v>628.17</v>
      </c>
      <c r="D193" s="2">
        <f t="shared" si="5"/>
        <v>0.014263063063063</v>
      </c>
      <c r="E193" s="2">
        <f t="shared" si="4"/>
        <v>10.4695</v>
      </c>
    </row>
    <row r="194" spans="1:5">
      <c r="A194" s="1">
        <v>42.4</v>
      </c>
      <c r="B194" s="1">
        <v>3.5312</v>
      </c>
      <c r="C194" s="1">
        <v>625.74998</v>
      </c>
      <c r="D194" s="2">
        <f t="shared" si="5"/>
        <v>0.0143387387387387</v>
      </c>
      <c r="E194" s="2">
        <f t="shared" si="4"/>
        <v>10.4291663333333</v>
      </c>
    </row>
    <row r="195" spans="1:5">
      <c r="A195" s="1">
        <v>42.5</v>
      </c>
      <c r="B195" s="1">
        <v>3.5395</v>
      </c>
      <c r="C195" s="1">
        <v>623.34001</v>
      </c>
      <c r="D195" s="2">
        <f t="shared" si="5"/>
        <v>0.0144135135135135</v>
      </c>
      <c r="E195" s="2">
        <f t="shared" ref="E195:E229" si="6">C195/$L$4</f>
        <v>10.3890001666667</v>
      </c>
    </row>
    <row r="196" spans="1:5">
      <c r="A196" s="1">
        <v>42.6</v>
      </c>
      <c r="B196" s="1">
        <v>3.5479</v>
      </c>
      <c r="C196" s="1">
        <v>620.91999</v>
      </c>
      <c r="D196" s="2">
        <f t="shared" ref="D196:D229" si="7">((B196/$L$3))-0.0174738738738739</f>
        <v>0.0144891891891892</v>
      </c>
      <c r="E196" s="2">
        <f t="shared" si="6"/>
        <v>10.3486665</v>
      </c>
    </row>
    <row r="197" spans="1:5">
      <c r="A197" s="1">
        <v>42.7</v>
      </c>
      <c r="B197" s="1">
        <v>3.5561</v>
      </c>
      <c r="C197" s="1">
        <v>618.51002</v>
      </c>
      <c r="D197" s="2">
        <f t="shared" si="7"/>
        <v>0.014563063063063</v>
      </c>
      <c r="E197" s="2">
        <f t="shared" si="6"/>
        <v>10.3085003333333</v>
      </c>
    </row>
    <row r="198" spans="1:5">
      <c r="A198" s="1">
        <v>42.8</v>
      </c>
      <c r="B198" s="1">
        <v>3.5645</v>
      </c>
      <c r="C198" s="1">
        <v>616.09</v>
      </c>
      <c r="D198" s="2">
        <f t="shared" si="7"/>
        <v>0.0146387387387387</v>
      </c>
      <c r="E198" s="2">
        <f t="shared" si="6"/>
        <v>10.2681666666667</v>
      </c>
    </row>
    <row r="199" spans="1:5">
      <c r="A199" s="1">
        <v>42.9</v>
      </c>
      <c r="B199" s="1">
        <v>3.5729</v>
      </c>
      <c r="C199" s="1">
        <v>613.66998</v>
      </c>
      <c r="D199" s="2">
        <f t="shared" si="7"/>
        <v>0.0147144144144144</v>
      </c>
      <c r="E199" s="2">
        <f t="shared" si="6"/>
        <v>10.227833</v>
      </c>
    </row>
    <row r="200" spans="1:5">
      <c r="A200" s="1">
        <v>43</v>
      </c>
      <c r="B200" s="1">
        <v>3.5812</v>
      </c>
      <c r="C200" s="1">
        <v>610.44998</v>
      </c>
      <c r="D200" s="2">
        <f t="shared" si="7"/>
        <v>0.0147891891891892</v>
      </c>
      <c r="E200" s="2">
        <f t="shared" si="6"/>
        <v>10.1741663333333</v>
      </c>
    </row>
    <row r="201" spans="1:5">
      <c r="A201" s="1">
        <v>43.1</v>
      </c>
      <c r="B201" s="1">
        <v>3.5895</v>
      </c>
      <c r="C201" s="1">
        <v>608.04002</v>
      </c>
      <c r="D201" s="2">
        <f t="shared" si="7"/>
        <v>0.0148639639639639</v>
      </c>
      <c r="E201" s="2">
        <f t="shared" si="6"/>
        <v>10.1340003333333</v>
      </c>
    </row>
    <row r="202" spans="1:5">
      <c r="A202" s="1">
        <v>43.2</v>
      </c>
      <c r="B202" s="1">
        <v>3.5978</v>
      </c>
      <c r="C202" s="1">
        <v>605.62</v>
      </c>
      <c r="D202" s="2">
        <f t="shared" si="7"/>
        <v>0.0149387387387387</v>
      </c>
      <c r="E202" s="2">
        <f t="shared" si="6"/>
        <v>10.0936666666667</v>
      </c>
    </row>
    <row r="203" spans="1:5">
      <c r="A203" s="1">
        <v>43.3</v>
      </c>
      <c r="B203" s="1">
        <v>3.6062</v>
      </c>
      <c r="C203" s="1">
        <v>602.4</v>
      </c>
      <c r="D203" s="2">
        <f t="shared" si="7"/>
        <v>0.0150144144144144</v>
      </c>
      <c r="E203" s="2">
        <f t="shared" si="6"/>
        <v>10.04</v>
      </c>
    </row>
    <row r="204" spans="1:5">
      <c r="A204" s="1">
        <v>43.4</v>
      </c>
      <c r="B204" s="1">
        <v>3.6145</v>
      </c>
      <c r="C204" s="1">
        <v>600.79001</v>
      </c>
      <c r="D204" s="2">
        <f t="shared" si="7"/>
        <v>0.0150891891891892</v>
      </c>
      <c r="E204" s="2">
        <f t="shared" si="6"/>
        <v>10.0131668333333</v>
      </c>
    </row>
    <row r="205" spans="1:5">
      <c r="A205" s="1">
        <v>43.5</v>
      </c>
      <c r="B205" s="1">
        <v>3.6229</v>
      </c>
      <c r="C205" s="1">
        <v>598.36999</v>
      </c>
      <c r="D205" s="2">
        <f t="shared" si="7"/>
        <v>0.0151648648648648</v>
      </c>
      <c r="E205" s="2">
        <f t="shared" si="6"/>
        <v>9.97283316666667</v>
      </c>
    </row>
    <row r="206" spans="1:5">
      <c r="A206" s="1">
        <v>43.6</v>
      </c>
      <c r="B206" s="1">
        <v>3.6311</v>
      </c>
      <c r="C206" s="1">
        <v>595.96002</v>
      </c>
      <c r="D206" s="2">
        <f t="shared" si="7"/>
        <v>0.0152387387387387</v>
      </c>
      <c r="E206" s="2">
        <f t="shared" si="6"/>
        <v>9.932667</v>
      </c>
    </row>
    <row r="207" spans="1:5">
      <c r="A207" s="1">
        <v>43.7</v>
      </c>
      <c r="B207" s="1">
        <v>3.6395</v>
      </c>
      <c r="C207" s="1">
        <v>593.54</v>
      </c>
      <c r="D207" s="2">
        <f t="shared" si="7"/>
        <v>0.0153144144144144</v>
      </c>
      <c r="E207" s="2">
        <f t="shared" si="6"/>
        <v>9.89233333333333</v>
      </c>
    </row>
    <row r="208" spans="1:5">
      <c r="A208" s="1">
        <v>43.8</v>
      </c>
      <c r="B208" s="1">
        <v>3.6479</v>
      </c>
      <c r="C208" s="1">
        <v>591.11997</v>
      </c>
      <c r="D208" s="2">
        <f t="shared" si="7"/>
        <v>0.0153900900900901</v>
      </c>
      <c r="E208" s="2">
        <f t="shared" si="6"/>
        <v>9.8519995</v>
      </c>
    </row>
    <row r="209" spans="1:5">
      <c r="A209" s="1">
        <v>43.9</v>
      </c>
      <c r="B209" s="1">
        <v>3.6562</v>
      </c>
      <c r="C209" s="1">
        <v>589.50998</v>
      </c>
      <c r="D209" s="2">
        <f t="shared" si="7"/>
        <v>0.0154648648648648</v>
      </c>
      <c r="E209" s="2">
        <f t="shared" si="6"/>
        <v>9.82516633333333</v>
      </c>
    </row>
    <row r="210" spans="1:5">
      <c r="A210" s="1">
        <v>44</v>
      </c>
      <c r="B210" s="1">
        <v>3.6645</v>
      </c>
      <c r="C210" s="1">
        <v>587.10001</v>
      </c>
      <c r="D210" s="2">
        <f t="shared" si="7"/>
        <v>0.0155396396396396</v>
      </c>
      <c r="E210" s="2">
        <f t="shared" si="6"/>
        <v>9.78500016666667</v>
      </c>
    </row>
    <row r="211" spans="1:5">
      <c r="A211" s="1">
        <v>44.1</v>
      </c>
      <c r="B211" s="1">
        <v>3.6728</v>
      </c>
      <c r="C211" s="1">
        <v>585.49002</v>
      </c>
      <c r="D211" s="2">
        <f t="shared" si="7"/>
        <v>0.0156144144144144</v>
      </c>
      <c r="E211" s="2">
        <f t="shared" si="6"/>
        <v>9.758167</v>
      </c>
    </row>
    <row r="212" spans="1:5">
      <c r="A212" s="1">
        <v>44.2</v>
      </c>
      <c r="B212" s="1">
        <v>3.6812</v>
      </c>
      <c r="C212" s="1">
        <v>583.88002</v>
      </c>
      <c r="D212" s="2">
        <f t="shared" si="7"/>
        <v>0.0156900900900901</v>
      </c>
      <c r="E212" s="2">
        <f t="shared" si="6"/>
        <v>9.73133366666667</v>
      </c>
    </row>
    <row r="213" spans="1:5">
      <c r="A213" s="1">
        <v>44.3</v>
      </c>
      <c r="B213" s="1">
        <v>3.6895</v>
      </c>
      <c r="C213" s="1">
        <v>581.46</v>
      </c>
      <c r="D213" s="2">
        <f t="shared" si="7"/>
        <v>0.0157648648648648</v>
      </c>
      <c r="E213" s="2">
        <f t="shared" si="6"/>
        <v>9.691</v>
      </c>
    </row>
    <row r="214" spans="1:5">
      <c r="A214" s="1">
        <v>44.4</v>
      </c>
      <c r="B214" s="1">
        <v>3.6979</v>
      </c>
      <c r="C214" s="1">
        <v>579.85</v>
      </c>
      <c r="D214" s="2">
        <f t="shared" si="7"/>
        <v>0.0158405405405405</v>
      </c>
      <c r="E214" s="2">
        <f t="shared" si="6"/>
        <v>9.66416666666667</v>
      </c>
    </row>
    <row r="215" spans="1:5">
      <c r="A215" s="1">
        <v>44.5</v>
      </c>
      <c r="B215" s="1">
        <v>3.7061</v>
      </c>
      <c r="C215" s="1">
        <v>578.24001</v>
      </c>
      <c r="D215" s="2">
        <f t="shared" si="7"/>
        <v>0.0159144144144144</v>
      </c>
      <c r="E215" s="2">
        <f t="shared" si="6"/>
        <v>9.6373335</v>
      </c>
    </row>
    <row r="216" spans="1:5">
      <c r="A216" s="1">
        <v>44.6</v>
      </c>
      <c r="B216" s="1">
        <v>3.7145</v>
      </c>
      <c r="C216" s="1">
        <v>575.81998</v>
      </c>
      <c r="D216" s="2">
        <f t="shared" si="7"/>
        <v>0.0159900900900901</v>
      </c>
      <c r="E216" s="2">
        <f t="shared" si="6"/>
        <v>9.59699966666667</v>
      </c>
    </row>
    <row r="217" spans="1:5">
      <c r="A217" s="1">
        <v>44.7</v>
      </c>
      <c r="B217" s="1">
        <v>3.7229</v>
      </c>
      <c r="C217" s="1">
        <v>574.20999</v>
      </c>
      <c r="D217" s="2">
        <f t="shared" si="7"/>
        <v>0.0160657657657657</v>
      </c>
      <c r="E217" s="2">
        <f t="shared" si="6"/>
        <v>9.5701665</v>
      </c>
    </row>
    <row r="218" spans="1:5">
      <c r="D218" s="2"/>
      <c r="E218" s="2"/>
    </row>
    <row r="219" spans="1:5">
      <c r="D219" s="2"/>
      <c r="E219" s="2"/>
    </row>
    <row r="220" spans="1:5">
      <c r="D220" s="2"/>
      <c r="E220" s="2"/>
    </row>
    <row r="221" spans="1:5">
      <c r="D221" s="2"/>
      <c r="E221" s="2"/>
    </row>
    <row r="222" spans="1:5">
      <c r="D222" s="2"/>
      <c r="E222" s="2"/>
    </row>
    <row r="223" spans="1:5">
      <c r="D223" s="2"/>
      <c r="E223" s="2"/>
    </row>
    <row r="224" spans="1:5">
      <c r="D224" s="2"/>
      <c r="E224" s="2"/>
    </row>
    <row r="225" spans="4:5">
      <c r="D225" s="2"/>
      <c r="E225" s="2"/>
    </row>
    <row r="226" spans="4:5">
      <c r="D226" s="2"/>
      <c r="E226" s="2"/>
    </row>
    <row r="227" spans="4:5">
      <c r="D227" s="2"/>
      <c r="E227" s="2"/>
    </row>
    <row r="228" spans="4:5">
      <c r="D228" s="2"/>
      <c r="E228" s="2"/>
    </row>
    <row r="229" spans="4:5">
      <c r="D229" s="2"/>
      <c r="E229" s="2"/>
    </row>
    <row r="230" spans="4:5">
      <c r="D230" s="2"/>
      <c r="E230" s="2"/>
    </row>
    <row r="231" spans="4:5">
      <c r="D231" s="2"/>
      <c r="E231" s="2"/>
    </row>
    <row r="232" spans="4:5">
      <c r="D232" s="2"/>
      <c r="E232" s="2"/>
    </row>
    <row r="233" spans="4:5">
      <c r="D233" s="2"/>
      <c r="E233" s="2"/>
    </row>
    <row r="234" spans="4:5">
      <c r="D234" s="2"/>
      <c r="E234" s="2"/>
    </row>
    <row r="235" spans="4:5">
      <c r="D235" s="2"/>
      <c r="E235" s="2"/>
    </row>
    <row r="236" spans="4:5">
      <c r="D236" s="2"/>
      <c r="E236" s="2"/>
    </row>
    <row r="237" spans="4:5">
      <c r="D237" s="2"/>
      <c r="E237" s="2"/>
    </row>
    <row r="238" spans="4:5">
      <c r="D238" s="2"/>
      <c r="E238" s="2"/>
    </row>
    <row r="239" spans="4:5">
      <c r="D239" s="2"/>
      <c r="E239" s="2"/>
    </row>
    <row r="240" spans="4:5">
      <c r="D240" s="2"/>
      <c r="E240" s="2"/>
    </row>
    <row r="241" spans="4:5">
      <c r="D241" s="2"/>
      <c r="E241" s="2"/>
    </row>
    <row r="242" spans="4:5">
      <c r="D242" s="2"/>
      <c r="E242" s="2"/>
    </row>
    <row r="243" spans="4:5">
      <c r="D243" s="2"/>
      <c r="E243" s="2"/>
    </row>
    <row r="244" spans="4:5">
      <c r="D244" s="2"/>
      <c r="E244" s="2"/>
    </row>
    <row r="245" spans="4:5">
      <c r="D245" s="2"/>
      <c r="E245" s="2"/>
    </row>
    <row r="246" spans="4:5">
      <c r="D246" s="2"/>
      <c r="E246" s="2"/>
    </row>
    <row r="247" spans="4:5">
      <c r="D247" s="2"/>
      <c r="E247" s="2"/>
    </row>
    <row r="248" spans="4:5">
      <c r="D248" s="2"/>
      <c r="E248" s="2"/>
    </row>
    <row r="249" spans="4:5">
      <c r="D249" s="2"/>
      <c r="E249" s="2"/>
    </row>
    <row r="250" spans="4:5">
      <c r="D250" s="2"/>
      <c r="E250" s="2"/>
    </row>
    <row r="251" spans="4:5">
      <c r="D251" s="2"/>
      <c r="E251" s="2"/>
    </row>
    <row r="252" spans="4:5">
      <c r="D252" s="2"/>
      <c r="E252" s="2"/>
    </row>
    <row r="253" spans="4:5">
      <c r="D253" s="2"/>
      <c r="E253" s="2"/>
    </row>
    <row r="254" spans="4:5">
      <c r="D254" s="2"/>
      <c r="E254" s="2"/>
    </row>
    <row r="255" spans="4:5">
      <c r="D255" s="2"/>
      <c r="E255" s="2"/>
    </row>
    <row r="256" spans="4:5">
      <c r="D256" s="2"/>
      <c r="E256" s="2"/>
    </row>
    <row r="257" spans="4:5">
      <c r="D257" s="2"/>
      <c r="E257" s="2"/>
    </row>
    <row r="258" spans="4:5">
      <c r="D258" s="2"/>
      <c r="E258" s="2"/>
    </row>
    <row r="259" spans="4:5">
      <c r="D259" s="2"/>
      <c r="E259" s="2"/>
    </row>
    <row r="260" spans="4:5">
      <c r="D260" s="2"/>
      <c r="E260" s="2"/>
    </row>
    <row r="261" spans="4:5">
      <c r="D261" s="2"/>
      <c r="E261" s="2"/>
    </row>
    <row r="262" spans="4:5">
      <c r="D262" s="2"/>
      <c r="E262" s="2"/>
    </row>
    <row r="263" spans="4:5">
      <c r="D263" s="2"/>
      <c r="E263" s="2"/>
    </row>
    <row r="264" spans="4:5">
      <c r="D264" s="2"/>
      <c r="E264" s="2"/>
    </row>
    <row r="265" spans="4:5">
      <c r="D265" s="2"/>
      <c r="E265" s="2"/>
    </row>
    <row r="266" spans="4:5">
      <c r="D266" s="2"/>
      <c r="E266" s="2"/>
    </row>
    <row r="267" spans="4:5">
      <c r="D267" s="2"/>
      <c r="E267" s="2"/>
    </row>
    <row r="268" spans="4:5">
      <c r="D268" s="2"/>
      <c r="E268" s="2"/>
    </row>
    <row r="269" spans="4:5">
      <c r="D269" s="2"/>
      <c r="E269" s="2"/>
    </row>
    <row r="270" spans="4:5">
      <c r="D270" s="2"/>
      <c r="E270" s="2"/>
    </row>
    <row r="271" spans="4:5">
      <c r="D271" s="2"/>
      <c r="E271" s="2"/>
    </row>
    <row r="272" spans="4:5">
      <c r="D272" s="2"/>
      <c r="E272" s="2"/>
    </row>
    <row r="273" spans="4:5">
      <c r="D273" s="2"/>
      <c r="E273" s="2"/>
    </row>
    <row r="274" spans="4:5">
      <c r="D274" s="2"/>
      <c r="E274" s="2"/>
    </row>
    <row r="275" spans="4:5">
      <c r="D275" s="2"/>
      <c r="E275" s="2"/>
    </row>
    <row r="276" spans="4:5">
      <c r="D276" s="2"/>
      <c r="E276" s="2"/>
    </row>
    <row r="277" spans="4:5">
      <c r="D277" s="2"/>
      <c r="E277" s="2"/>
    </row>
    <row r="278" spans="4:5">
      <c r="D278" s="2"/>
      <c r="E278" s="2"/>
    </row>
    <row r="279" spans="4:5">
      <c r="D279" s="2"/>
      <c r="E279" s="2"/>
    </row>
    <row r="280" spans="4:5">
      <c r="D280" s="2"/>
      <c r="E280" s="2"/>
    </row>
    <row r="281" spans="4:5">
      <c r="D281" s="2"/>
      <c r="E281" s="2"/>
    </row>
    <row r="282" spans="4:5">
      <c r="D282" s="2"/>
      <c r="E282" s="2"/>
    </row>
    <row r="283" spans="4:5">
      <c r="D283" s="2"/>
      <c r="E283" s="2"/>
    </row>
    <row r="284" spans="4:5">
      <c r="D284" s="2"/>
      <c r="E284" s="2"/>
    </row>
    <row r="285" spans="4:5">
      <c r="D285" s="2"/>
      <c r="E285" s="2"/>
    </row>
    <row r="286" spans="4:5">
      <c r="D286" s="2"/>
      <c r="E286" s="2"/>
    </row>
    <row r="287" spans="4:5">
      <c r="D287" s="2"/>
      <c r="E287" s="2"/>
    </row>
    <row r="288" spans="4:5">
      <c r="D288" s="2"/>
      <c r="E288" s="2"/>
    </row>
    <row r="289" spans="4:5">
      <c r="D289" s="2"/>
      <c r="E289" s="2"/>
    </row>
    <row r="290" spans="4:5">
      <c r="D290" s="2"/>
      <c r="E290" s="2"/>
    </row>
    <row r="291" spans="4:5">
      <c r="D291" s="2"/>
      <c r="E291" s="2"/>
    </row>
    <row r="292" spans="4:5">
      <c r="D292" s="2"/>
      <c r="E292" s="2"/>
    </row>
    <row r="293" spans="4:5">
      <c r="D293" s="2"/>
      <c r="E293" s="2"/>
    </row>
    <row r="294" spans="4:5">
      <c r="D294" s="2"/>
      <c r="E294" s="2"/>
    </row>
    <row r="295" spans="4:5">
      <c r="D295" s="2"/>
      <c r="E295" s="2"/>
    </row>
    <row r="296" spans="4:5">
      <c r="D296" s="2"/>
      <c r="E296" s="2"/>
    </row>
    <row r="297" spans="4:5">
      <c r="D297" s="2"/>
      <c r="E297" s="2"/>
    </row>
    <row r="298" spans="4:5">
      <c r="D298" s="2"/>
      <c r="E298" s="2"/>
    </row>
    <row r="299" spans="4:5">
      <c r="D299" s="2"/>
      <c r="E299" s="2"/>
    </row>
    <row r="300" spans="4:5">
      <c r="D300" s="2"/>
      <c r="E300" s="2"/>
    </row>
    <row r="301" spans="4:5">
      <c r="D301" s="2"/>
      <c r="E301" s="2"/>
    </row>
    <row r="302" spans="4:5">
      <c r="D302" s="2"/>
      <c r="E302" s="2"/>
    </row>
    <row r="303" spans="4:5">
      <c r="D303" s="2"/>
      <c r="E303" s="2"/>
    </row>
    <row r="304" spans="4:5">
      <c r="D304" s="2"/>
      <c r="E304" s="2"/>
    </row>
    <row r="305" spans="4:5">
      <c r="D305" s="2"/>
      <c r="E305" s="2"/>
    </row>
    <row r="306" spans="4:5">
      <c r="D306" s="2"/>
      <c r="E306" s="2"/>
    </row>
    <row r="307" spans="4:5">
      <c r="D307" s="2"/>
      <c r="E307" s="2"/>
    </row>
    <row r="308" spans="4:5">
      <c r="D308" s="2"/>
      <c r="E308" s="2"/>
    </row>
    <row r="309" spans="4:5">
      <c r="D309" s="2"/>
      <c r="E309" s="2"/>
    </row>
    <row r="310" spans="4:5">
      <c r="D310" s="2"/>
      <c r="E310" s="2"/>
    </row>
    <row r="311" spans="4:5">
      <c r="D311" s="2"/>
      <c r="E311" s="2"/>
    </row>
    <row r="312" spans="4:5">
      <c r="D312" s="2"/>
      <c r="E312" s="2"/>
    </row>
    <row r="313" spans="4:5">
      <c r="D313" s="2"/>
      <c r="E313" s="2"/>
    </row>
    <row r="314" spans="4:5">
      <c r="D314" s="2"/>
      <c r="E314" s="2"/>
    </row>
    <row r="315" spans="4:5">
      <c r="D315" s="2"/>
      <c r="E315" s="2"/>
    </row>
    <row r="316" spans="4:5">
      <c r="D316" s="2"/>
      <c r="E316" s="2"/>
    </row>
    <row r="317" spans="4:5">
      <c r="D317" s="2"/>
      <c r="E317" s="2"/>
    </row>
    <row r="318" spans="4:5">
      <c r="D318" s="2"/>
      <c r="E318" s="2"/>
    </row>
    <row r="319" spans="4:5">
      <c r="D319" s="2"/>
      <c r="E319" s="2"/>
    </row>
    <row r="320" spans="4:5">
      <c r="D320" s="2"/>
      <c r="E320" s="2"/>
    </row>
    <row r="321" spans="4:5">
      <c r="D321" s="2"/>
      <c r="E321" s="2"/>
    </row>
    <row r="322" spans="4:5">
      <c r="D322" s="2"/>
      <c r="E322" s="2"/>
    </row>
    <row r="323" spans="4:5">
      <c r="D323" s="2"/>
      <c r="E323" s="2"/>
    </row>
    <row r="324" spans="4:5">
      <c r="D324" s="2"/>
      <c r="E324" s="2"/>
    </row>
    <row r="325" spans="4:5">
      <c r="D325" s="2"/>
      <c r="E325" s="2"/>
    </row>
    <row r="326" spans="4:5">
      <c r="D326" s="2"/>
      <c r="E326" s="2"/>
    </row>
    <row r="327" spans="4:5">
      <c r="D327" s="2"/>
      <c r="E327" s="2"/>
    </row>
    <row r="328" spans="4:5">
      <c r="D328" s="2"/>
      <c r="E328" s="2"/>
    </row>
    <row r="329" spans="4:5">
      <c r="D329" s="2"/>
      <c r="E329" s="2"/>
    </row>
    <row r="330" spans="4:5">
      <c r="D330" s="2"/>
      <c r="E330" s="2"/>
    </row>
    <row r="331" spans="4:5">
      <c r="D331" s="2"/>
      <c r="E331" s="2"/>
    </row>
    <row r="332" spans="4:5">
      <c r="D332" s="2"/>
      <c r="E332" s="2"/>
    </row>
    <row r="333" spans="4:5">
      <c r="D333" s="2"/>
      <c r="E333" s="2"/>
    </row>
    <row r="334" spans="4:5">
      <c r="D334" s="2"/>
      <c r="E334" s="2"/>
    </row>
    <row r="335" spans="4:5">
      <c r="D335" s="2"/>
      <c r="E335" s="2"/>
    </row>
    <row r="336" spans="4:5">
      <c r="D336" s="2"/>
      <c r="E336" s="2"/>
    </row>
    <row r="337" spans="4:5">
      <c r="D337" s="2"/>
      <c r="E337" s="2"/>
    </row>
    <row r="338" spans="4:5">
      <c r="D338" s="2"/>
      <c r="E338" s="2"/>
    </row>
    <row r="339" spans="4:5">
      <c r="D339" s="2"/>
      <c r="E339" s="2"/>
    </row>
    <row r="340" spans="4:5">
      <c r="D340" s="2"/>
      <c r="E340" s="2"/>
    </row>
    <row r="341" spans="4:5">
      <c r="D341" s="2"/>
      <c r="E341" s="2"/>
    </row>
    <row r="342" spans="4:5">
      <c r="D342" s="2"/>
      <c r="E342" s="2"/>
    </row>
    <row r="343" spans="4:5">
      <c r="D343" s="2"/>
      <c r="E343" s="2"/>
    </row>
    <row r="344" spans="4:5">
      <c r="D344" s="2"/>
      <c r="E344" s="2"/>
    </row>
    <row r="345" spans="4:5">
      <c r="D345" s="2"/>
      <c r="E345" s="2"/>
    </row>
    <row r="346" spans="4:5">
      <c r="D346" s="2"/>
      <c r="E346" s="2"/>
    </row>
    <row r="347" spans="4:5">
      <c r="D347" s="2"/>
      <c r="E347" s="2"/>
    </row>
    <row r="348" spans="4:5">
      <c r="D348" s="2"/>
      <c r="E348" s="2"/>
    </row>
    <row r="349" spans="4:5">
      <c r="D349" s="2"/>
      <c r="E349" s="2"/>
    </row>
    <row r="350" spans="4:5">
      <c r="D350" s="2"/>
      <c r="E350" s="2"/>
    </row>
    <row r="351" spans="4:5">
      <c r="D351" s="2"/>
      <c r="E351" s="2"/>
    </row>
    <row r="352" spans="4:5">
      <c r="D352" s="2"/>
      <c r="E352" s="2"/>
    </row>
    <row r="353" spans="4:5">
      <c r="D353" s="2"/>
      <c r="E353" s="2"/>
    </row>
    <row r="354" spans="4:5">
      <c r="D354" s="2"/>
      <c r="E354" s="2"/>
    </row>
    <row r="355" spans="4:5">
      <c r="D355" s="2"/>
      <c r="E355" s="2"/>
    </row>
    <row r="356" spans="4:5">
      <c r="D356" s="2"/>
      <c r="E356" s="2"/>
    </row>
    <row r="357" spans="4:5">
      <c r="D357" s="2"/>
      <c r="E357" s="2"/>
    </row>
    <row r="358" spans="4:5">
      <c r="D358" s="2"/>
      <c r="E358" s="2"/>
    </row>
    <row r="359" spans="4:5">
      <c r="D359" s="2"/>
      <c r="E359" s="2"/>
    </row>
    <row r="360" spans="4:5">
      <c r="D360" s="2"/>
      <c r="E360" s="2"/>
    </row>
    <row r="361" spans="4:5">
      <c r="D361" s="2"/>
      <c r="E361" s="2"/>
    </row>
    <row r="362" spans="4:5">
      <c r="D362" s="2"/>
      <c r="E362" s="2"/>
    </row>
    <row r="363" spans="4:5">
      <c r="D363" s="2"/>
      <c r="E363" s="2"/>
    </row>
    <row r="364" spans="4:5">
      <c r="D364" s="2"/>
      <c r="E364" s="2"/>
    </row>
    <row r="365" spans="4:5">
      <c r="D365" s="2"/>
      <c r="E365" s="2"/>
    </row>
    <row r="366" spans="4:5">
      <c r="D366" s="2"/>
      <c r="E366" s="2"/>
    </row>
    <row r="367" spans="4:5">
      <c r="D367" s="2"/>
      <c r="E367" s="2"/>
    </row>
    <row r="368" spans="4:5">
      <c r="D368" s="2"/>
      <c r="E368" s="2"/>
    </row>
    <row r="369" spans="4:5">
      <c r="D369" s="2"/>
      <c r="E369" s="2"/>
    </row>
    <row r="370" spans="4:5">
      <c r="D370" s="2"/>
      <c r="E370" s="2"/>
    </row>
    <row r="371" spans="4:5">
      <c r="D371" s="2"/>
      <c r="E371" s="2"/>
    </row>
    <row r="372" spans="4:5">
      <c r="D372" s="2"/>
      <c r="E372" s="2"/>
    </row>
    <row r="373" spans="4:5">
      <c r="D373" s="2"/>
      <c r="E373" s="2"/>
    </row>
    <row r="374" spans="4:5">
      <c r="D374" s="2"/>
      <c r="E374" s="2"/>
    </row>
    <row r="375" spans="4:5">
      <c r="D375" s="2"/>
      <c r="E375" s="2"/>
    </row>
    <row r="376" spans="4:5">
      <c r="D376" s="2"/>
      <c r="E376" s="2"/>
    </row>
    <row r="377" spans="4:5">
      <c r="D377" s="2"/>
      <c r="E377" s="2"/>
    </row>
    <row r="378" spans="4:5">
      <c r="D378" s="2"/>
      <c r="E378" s="2"/>
    </row>
    <row r="379" spans="4:5">
      <c r="D379" s="2"/>
      <c r="E379" s="2"/>
    </row>
    <row r="380" spans="4:5">
      <c r="D380" s="2"/>
      <c r="E380" s="2"/>
    </row>
    <row r="381" spans="4:5">
      <c r="D381" s="2"/>
      <c r="E381" s="2"/>
    </row>
    <row r="382" spans="4:5">
      <c r="D382" s="2"/>
      <c r="E382" s="2"/>
    </row>
    <row r="383" spans="4:5">
      <c r="D383" s="2"/>
      <c r="E383" s="2"/>
    </row>
    <row r="384" spans="4:5">
      <c r="D384" s="2"/>
      <c r="E384" s="2"/>
    </row>
    <row r="385" spans="4:5">
      <c r="D385" s="2"/>
      <c r="E385" s="2"/>
    </row>
    <row r="386" spans="4:5">
      <c r="D386" s="2"/>
      <c r="E386" s="2"/>
    </row>
    <row r="387" spans="4:5">
      <c r="D387" s="2"/>
      <c r="E387" s="2"/>
    </row>
    <row r="388" spans="4:5">
      <c r="D388" s="2"/>
      <c r="E388" s="2"/>
    </row>
    <row r="389" spans="4:5">
      <c r="D389" s="2"/>
      <c r="E389" s="2"/>
    </row>
    <row r="390" spans="4:5">
      <c r="D390" s="2"/>
      <c r="E390" s="2"/>
    </row>
    <row r="391" spans="4:5">
      <c r="D391" s="2"/>
      <c r="E391" s="2"/>
    </row>
    <row r="392" spans="4:5">
      <c r="D392" s="2"/>
      <c r="E392" s="2"/>
    </row>
    <row r="393" spans="4:5">
      <c r="D393" s="2"/>
      <c r="E393" s="2"/>
    </row>
    <row r="394" spans="4:5">
      <c r="D394" s="2"/>
      <c r="E394" s="2"/>
    </row>
    <row r="395" spans="4:5">
      <c r="D395" s="2"/>
      <c r="E395" s="2"/>
    </row>
    <row r="396" spans="4:5">
      <c r="D396" s="2"/>
      <c r="E396" s="2"/>
    </row>
    <row r="397" spans="4:5">
      <c r="D397" s="2"/>
      <c r="E397" s="2"/>
    </row>
    <row r="398" spans="4:5">
      <c r="D398" s="2"/>
      <c r="E398" s="2"/>
    </row>
    <row r="399" spans="4:5">
      <c r="D399" s="2"/>
      <c r="E399" s="2"/>
    </row>
    <row r="400" spans="4:5">
      <c r="D400" s="2"/>
      <c r="E400" s="2"/>
    </row>
    <row r="401" spans="4:5">
      <c r="D401" s="2"/>
      <c r="E401" s="2"/>
    </row>
    <row r="402" spans="4:5">
      <c r="D402" s="2"/>
      <c r="E402" s="2"/>
    </row>
    <row r="403" spans="4:5">
      <c r="D403" s="2"/>
      <c r="E403" s="2"/>
    </row>
    <row r="404" spans="4:5">
      <c r="D404" s="2"/>
      <c r="E404" s="2"/>
    </row>
    <row r="405" spans="4:5">
      <c r="D405" s="2"/>
      <c r="E405" s="2"/>
    </row>
    <row r="406" spans="4:5">
      <c r="D406" s="2"/>
      <c r="E406" s="2"/>
    </row>
    <row r="407" spans="4:5">
      <c r="D407" s="2"/>
      <c r="E407" s="2"/>
    </row>
    <row r="408" spans="4:5">
      <c r="D408" s="2"/>
      <c r="E408" s="2"/>
    </row>
    <row r="409" spans="4:5">
      <c r="D409" s="2"/>
      <c r="E409" s="2"/>
    </row>
    <row r="410" spans="4:5">
      <c r="D410" s="2"/>
      <c r="E410" s="2"/>
    </row>
    <row r="411" spans="4:5">
      <c r="D411" s="2"/>
      <c r="E411" s="2"/>
    </row>
    <row r="412" spans="4:5">
      <c r="D412" s="2"/>
      <c r="E412" s="2"/>
    </row>
    <row r="413" spans="4:5">
      <c r="D413" s="2"/>
      <c r="E413" s="2"/>
    </row>
    <row r="414" spans="4:5">
      <c r="D414" s="2"/>
      <c r="E414" s="2"/>
    </row>
    <row r="415" spans="4:5">
      <c r="D415" s="2"/>
      <c r="E415" s="2"/>
    </row>
    <row r="416" spans="4:5">
      <c r="D416" s="2"/>
      <c r="E416" s="2"/>
    </row>
    <row r="417" spans="4:5">
      <c r="D417" s="2"/>
      <c r="E417" s="2"/>
    </row>
    <row r="418" spans="4:5">
      <c r="D418" s="2"/>
      <c r="E418" s="2"/>
    </row>
    <row r="419" spans="4:5">
      <c r="D419" s="2"/>
      <c r="E419" s="2"/>
    </row>
    <row r="420" spans="4:5">
      <c r="D420" s="2"/>
      <c r="E420" s="2"/>
    </row>
    <row r="421" spans="4:5">
      <c r="D421" s="2"/>
      <c r="E421" s="2"/>
    </row>
    <row r="422" spans="4:5">
      <c r="D422" s="2"/>
      <c r="E422" s="2"/>
    </row>
    <row r="423" spans="4:5">
      <c r="D423" s="2"/>
      <c r="E423" s="2"/>
    </row>
    <row r="424" spans="4:5">
      <c r="D424" s="2"/>
      <c r="E424" s="2"/>
    </row>
    <row r="425" spans="4:5">
      <c r="D425" s="2"/>
      <c r="E425" s="2"/>
    </row>
    <row r="426" spans="4:5">
      <c r="D426" s="2"/>
      <c r="E426" s="2"/>
    </row>
    <row r="427" spans="4:5">
      <c r="D427" s="2"/>
      <c r="E427" s="2"/>
    </row>
    <row r="428" spans="4:5">
      <c r="D428" s="2"/>
      <c r="E428" s="2"/>
    </row>
    <row r="429" spans="4:5">
      <c r="D429" s="2"/>
      <c r="E429" s="2"/>
    </row>
    <row r="430" spans="4:5">
      <c r="D430" s="2"/>
      <c r="E430" s="2"/>
    </row>
    <row r="431" spans="4:5">
      <c r="D431" s="2"/>
      <c r="E431" s="2"/>
    </row>
    <row r="432" spans="4:5">
      <c r="D432" s="2"/>
      <c r="E432" s="2"/>
    </row>
    <row r="433" spans="4:5">
      <c r="D433" s="2"/>
      <c r="E433" s="2"/>
    </row>
    <row r="434" spans="4:5">
      <c r="D434" s="2"/>
      <c r="E434" s="2"/>
    </row>
    <row r="435" spans="4:5">
      <c r="D435" s="2"/>
      <c r="E435" s="2"/>
    </row>
    <row r="436" spans="4:5">
      <c r="D436" s="2"/>
      <c r="E436" s="2"/>
    </row>
    <row r="437" spans="4:5">
      <c r="D437" s="2"/>
      <c r="E437" s="2"/>
    </row>
    <row r="438" spans="4:5">
      <c r="D438" s="2"/>
      <c r="E438" s="2"/>
    </row>
    <row r="439" spans="4:5">
      <c r="D439" s="2"/>
      <c r="E439" s="2"/>
    </row>
    <row r="440" spans="4:5">
      <c r="D440" s="2"/>
      <c r="E440" s="2"/>
    </row>
    <row r="441" spans="4:5">
      <c r="D441" s="2"/>
      <c r="E441" s="2"/>
    </row>
    <row r="442" spans="4:5">
      <c r="D442" s="2"/>
      <c r="E442" s="2"/>
    </row>
    <row r="443" spans="4:5">
      <c r="D443" s="2"/>
      <c r="E443" s="2"/>
    </row>
    <row r="444" spans="4:5">
      <c r="D444" s="2"/>
      <c r="E444" s="2"/>
    </row>
    <row r="445" spans="4:5">
      <c r="D445" s="2"/>
      <c r="E445" s="2"/>
    </row>
    <row r="446" spans="4:5">
      <c r="D446" s="2"/>
      <c r="E446" s="2"/>
    </row>
    <row r="447" spans="4:5">
      <c r="D447" s="2"/>
      <c r="E447" s="2"/>
    </row>
    <row r="448" spans="4:5">
      <c r="D448" s="2"/>
      <c r="E448" s="2"/>
    </row>
    <row r="449" spans="4:5">
      <c r="D449" s="2"/>
      <c r="E449" s="2"/>
    </row>
    <row r="450" spans="4:5">
      <c r="D450" s="2"/>
      <c r="E450" s="2"/>
    </row>
    <row r="451" spans="4:5">
      <c r="D451" s="2"/>
      <c r="E451" s="2"/>
    </row>
    <row r="452" spans="4:5">
      <c r="D452" s="2"/>
      <c r="E452" s="2"/>
    </row>
    <row r="453" spans="4:5">
      <c r="D453" s="2"/>
      <c r="E453" s="2"/>
    </row>
    <row r="454" spans="4:5">
      <c r="D454" s="2"/>
      <c r="E454" s="2"/>
    </row>
    <row r="455" spans="4:5">
      <c r="D455" s="2"/>
      <c r="E455" s="2"/>
    </row>
    <row r="456" spans="4:5">
      <c r="D456" s="2"/>
      <c r="E456" s="2"/>
    </row>
    <row r="457" spans="4:5">
      <c r="D457" s="2"/>
      <c r="E457" s="2"/>
    </row>
    <row r="458" spans="4:5">
      <c r="D458" s="2"/>
      <c r="E458" s="2"/>
    </row>
    <row r="459" spans="4:5">
      <c r="D459" s="2"/>
      <c r="E459" s="2"/>
    </row>
    <row r="460" spans="4:5">
      <c r="D460" s="2"/>
      <c r="E460" s="2"/>
    </row>
    <row r="461" spans="4:5">
      <c r="D461" s="2"/>
      <c r="E461" s="2"/>
    </row>
    <row r="462" spans="4:5">
      <c r="D462" s="2"/>
      <c r="E462" s="2"/>
    </row>
    <row r="463" spans="4:5">
      <c r="D463" s="2"/>
      <c r="E463" s="2"/>
    </row>
    <row r="464" spans="4:5">
      <c r="D464" s="2"/>
      <c r="E464" s="2"/>
    </row>
    <row r="465" spans="4:5">
      <c r="D465" s="2"/>
      <c r="E465" s="2"/>
    </row>
    <row r="466" spans="4:5">
      <c r="D466" s="2"/>
      <c r="E466" s="2"/>
    </row>
    <row r="467" spans="4:5">
      <c r="D467" s="2"/>
      <c r="E467" s="2"/>
    </row>
    <row r="468" spans="4:5">
      <c r="D468" s="2"/>
      <c r="E468" s="2"/>
    </row>
    <row r="469" spans="4:5">
      <c r="D469" s="2"/>
      <c r="E469" s="2"/>
    </row>
    <row r="470" spans="4:5">
      <c r="D470" s="2"/>
      <c r="E470" s="2"/>
    </row>
    <row r="471" spans="4:5">
      <c r="D471" s="2"/>
      <c r="E471" s="2"/>
    </row>
    <row r="472" spans="4:5">
      <c r="D472" s="2"/>
      <c r="E472" s="2"/>
    </row>
    <row r="473" spans="4:5">
      <c r="D473" s="2"/>
      <c r="E473" s="2"/>
    </row>
    <row r="474" spans="4:5">
      <c r="D474" s="2"/>
      <c r="E474" s="2"/>
    </row>
    <row r="475" spans="4:5">
      <c r="D475" s="2"/>
      <c r="E475" s="2"/>
    </row>
    <row r="476" spans="4:5">
      <c r="D476" s="2"/>
      <c r="E476" s="2"/>
    </row>
    <row r="477" spans="4:5">
      <c r="D477" s="2"/>
      <c r="E477" s="2"/>
    </row>
    <row r="478" spans="4:5">
      <c r="D478" s="2"/>
      <c r="E478" s="2"/>
    </row>
    <row r="479" spans="4:5">
      <c r="D479" s="2"/>
      <c r="E479" s="2"/>
    </row>
    <row r="480" spans="4:5">
      <c r="D480" s="2"/>
      <c r="E480" s="2"/>
    </row>
    <row r="481" spans="4:5">
      <c r="D481" s="2"/>
      <c r="E481" s="2"/>
    </row>
    <row r="482" spans="4:5">
      <c r="D482" s="2"/>
      <c r="E482" s="2"/>
    </row>
    <row r="483" spans="4:5">
      <c r="D483" s="2"/>
      <c r="E483" s="2"/>
    </row>
    <row r="484" spans="4:5">
      <c r="D484" s="2"/>
      <c r="E484" s="2"/>
    </row>
    <row r="485" spans="4:5">
      <c r="D485" s="2"/>
      <c r="E485" s="2"/>
    </row>
    <row r="486" spans="4:5">
      <c r="D486" s="2"/>
      <c r="E486" s="2"/>
    </row>
    <row r="487" spans="4:5">
      <c r="D487" s="2"/>
      <c r="E487" s="2"/>
    </row>
    <row r="488" spans="4:5">
      <c r="D488" s="2"/>
      <c r="E488" s="2"/>
    </row>
    <row r="489" spans="4:5">
      <c r="D489" s="2"/>
      <c r="E489" s="2"/>
    </row>
    <row r="490" spans="4:5">
      <c r="D490" s="2"/>
      <c r="E490" s="2"/>
    </row>
    <row r="491" spans="4:5">
      <c r="D491" s="2"/>
      <c r="E491" s="2"/>
    </row>
    <row r="492" spans="4:5">
      <c r="D492" s="2"/>
      <c r="E492" s="2"/>
    </row>
    <row r="493" spans="4:5">
      <c r="D493" s="2"/>
      <c r="E493" s="2"/>
    </row>
    <row r="494" spans="4:5">
      <c r="D494" s="2"/>
      <c r="E494" s="2"/>
    </row>
    <row r="495" spans="4:5">
      <c r="D495" s="2"/>
      <c r="E495" s="2"/>
    </row>
    <row r="496" spans="4:5">
      <c r="D496" s="2"/>
      <c r="E496" s="2"/>
    </row>
    <row r="497" spans="4:5">
      <c r="D497" s="2"/>
      <c r="E497" s="2"/>
    </row>
    <row r="498" spans="4:5">
      <c r="D498" s="2"/>
      <c r="E498" s="2"/>
    </row>
    <row r="499" spans="4:5">
      <c r="D499" s="2"/>
      <c r="E499" s="2"/>
    </row>
    <row r="500" spans="4:5">
      <c r="D500" s="2"/>
      <c r="E500" s="2"/>
    </row>
    <row r="501" spans="4:5">
      <c r="D501" s="2"/>
      <c r="E501" s="2"/>
    </row>
    <row r="502" spans="4:5">
      <c r="D502" s="2"/>
      <c r="E502" s="2"/>
    </row>
    <row r="503" spans="4:5">
      <c r="D503" s="2"/>
      <c r="E503" s="2"/>
    </row>
    <row r="504" spans="4:5">
      <c r="D504" s="2"/>
      <c r="E504" s="2"/>
    </row>
    <row r="505" spans="4:5">
      <c r="D505" s="2"/>
      <c r="E505" s="2"/>
    </row>
    <row r="506" spans="4:5">
      <c r="D506" s="2"/>
      <c r="E506" s="2"/>
    </row>
    <row r="507" spans="4:5">
      <c r="D507" s="2"/>
      <c r="E507" s="2"/>
    </row>
    <row r="508" spans="4:5">
      <c r="D508" s="2"/>
      <c r="E508" s="2"/>
    </row>
    <row r="509" spans="4:5">
      <c r="D509" s="2"/>
      <c r="E509" s="2"/>
    </row>
    <row r="510" spans="4:5">
      <c r="D510" s="2"/>
      <c r="E510" s="2"/>
    </row>
    <row r="511" spans="4:5">
      <c r="D511" s="2"/>
      <c r="E511" s="2"/>
    </row>
    <row r="512" spans="4:5">
      <c r="D512" s="2"/>
      <c r="E512" s="2"/>
    </row>
    <row r="513" spans="4:5">
      <c r="D513" s="2"/>
      <c r="E513" s="2"/>
    </row>
    <row r="514" spans="4:5">
      <c r="D514" s="2"/>
      <c r="E514" s="2"/>
    </row>
    <row r="515" spans="4:5">
      <c r="D515" s="2"/>
      <c r="E515" s="2"/>
    </row>
    <row r="516" spans="4:5">
      <c r="D516" s="2"/>
      <c r="E516" s="2"/>
    </row>
    <row r="517" spans="4:5">
      <c r="D517" s="2"/>
      <c r="E517" s="2"/>
    </row>
    <row r="518" spans="4:5">
      <c r="D518" s="2"/>
      <c r="E518" s="2"/>
    </row>
    <row r="519" spans="4:5">
      <c r="D519" s="2"/>
      <c r="E519" s="2"/>
    </row>
    <row r="520" spans="4:5">
      <c r="D520" s="2"/>
      <c r="E520" s="2"/>
    </row>
    <row r="521" spans="4:5">
      <c r="D521" s="2"/>
      <c r="E521" s="2"/>
    </row>
    <row r="522" spans="4:5">
      <c r="D522" s="2"/>
      <c r="E522" s="2"/>
    </row>
    <row r="523" spans="4:5">
      <c r="D523" s="2"/>
      <c r="E523" s="2"/>
    </row>
    <row r="524" spans="4:5">
      <c r="D524" s="2"/>
      <c r="E524" s="2"/>
    </row>
    <row r="525" spans="4:5">
      <c r="D525" s="2"/>
      <c r="E525" s="2"/>
    </row>
    <row r="526" spans="4:5">
      <c r="D526" s="2"/>
      <c r="E526" s="2"/>
    </row>
    <row r="527" spans="4:5">
      <c r="D527" s="2"/>
      <c r="E527" s="2"/>
    </row>
    <row r="528" spans="4:5">
      <c r="D528" s="2"/>
      <c r="E528" s="2"/>
    </row>
    <row r="529" spans="4:5">
      <c r="D529" s="2"/>
      <c r="E529" s="2"/>
    </row>
    <row r="530" spans="4:5">
      <c r="D530" s="2"/>
      <c r="E530" s="2"/>
    </row>
    <row r="531" spans="4:5">
      <c r="D531" s="2"/>
      <c r="E531" s="2"/>
    </row>
    <row r="532" spans="4:5">
      <c r="D532" s="2"/>
      <c r="E532" s="2"/>
    </row>
    <row r="533" spans="4:5">
      <c r="D533" s="2"/>
      <c r="E533" s="2"/>
    </row>
    <row r="534" spans="4:5">
      <c r="D534" s="2"/>
      <c r="E534" s="2"/>
    </row>
    <row r="535" spans="4:5">
      <c r="D535" s="2"/>
      <c r="E535" s="2"/>
    </row>
    <row r="536" spans="4:5">
      <c r="D536" s="2"/>
      <c r="E536" s="2"/>
    </row>
    <row r="537" spans="4:5">
      <c r="D537" s="2"/>
      <c r="E537" s="2"/>
    </row>
    <row r="538" spans="4:5">
      <c r="D538" s="2"/>
      <c r="E538" s="2"/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1"/>
  <sheetViews>
    <sheetView workbookViewId="0">
      <selection activeCell="G22" sqref="G22"/>
    </sheetView>
  </sheetViews>
  <sheetFormatPr defaultColWidth="9" defaultRowHeight="14"/>
  <cols>
    <col min="1" max="3" width="8.84166666666667" style="1"/>
    <col min="4" max="4" width="10.8416666666667" customWidth="1"/>
    <col min="5" max="5" width="6.73333333333333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2" t="s">
        <v>8</v>
      </c>
      <c r="E2" s="2" t="s">
        <v>9</v>
      </c>
    </row>
    <row r="3" spans="1:13">
      <c r="A3" s="1">
        <v>21.1</v>
      </c>
      <c r="B3" s="1">
        <v>1.7566</v>
      </c>
      <c r="C3" s="1">
        <v>17.71</v>
      </c>
      <c r="D3" s="2">
        <f>((B3/$L$3))-0.0158252252252252</f>
        <v>0</v>
      </c>
      <c r="E3" s="2">
        <f t="shared" ref="E3:E47" si="0">C3/$L$4</f>
        <v>0.295166666666667</v>
      </c>
      <c r="K3" t="s">
        <v>10</v>
      </c>
      <c r="L3">
        <v>111</v>
      </c>
      <c r="M3" t="s">
        <v>11</v>
      </c>
    </row>
    <row r="4" spans="1:13">
      <c r="A4" s="1">
        <v>21.2</v>
      </c>
      <c r="B4" s="1">
        <v>1.7649</v>
      </c>
      <c r="C4" s="1">
        <v>21.74</v>
      </c>
      <c r="D4" s="2">
        <f t="shared" ref="D4:D67" si="1">((B4/$L$3))-0.0158252252252252</f>
        <v>7.47747747747995e-5</v>
      </c>
      <c r="E4" s="2">
        <f t="shared" si="0"/>
        <v>0.362333333333333</v>
      </c>
      <c r="K4" t="s">
        <v>12</v>
      </c>
      <c r="L4">
        <f>10*6</f>
        <v>60</v>
      </c>
      <c r="M4" t="s">
        <v>13</v>
      </c>
    </row>
    <row r="5" spans="1:13">
      <c r="A5" s="1">
        <v>21.3</v>
      </c>
      <c r="B5" s="1">
        <v>1.7733</v>
      </c>
      <c r="C5" s="1">
        <v>24.96</v>
      </c>
      <c r="D5" s="2">
        <f t="shared" si="1"/>
        <v>0.000150450450450475</v>
      </c>
      <c r="E5" s="2">
        <f t="shared" si="0"/>
        <v>0.416</v>
      </c>
    </row>
    <row r="6" spans="1:13">
      <c r="A6" s="1">
        <v>21.4</v>
      </c>
      <c r="B6" s="1">
        <v>1.7816</v>
      </c>
      <c r="C6" s="1">
        <v>28.99</v>
      </c>
      <c r="D6" s="2">
        <f t="shared" si="1"/>
        <v>0.000225225225225251</v>
      </c>
      <c r="E6" s="2">
        <f t="shared" si="0"/>
        <v>0.483166666666667</v>
      </c>
    </row>
    <row r="7" spans="1:13">
      <c r="A7" s="1">
        <v>21.5</v>
      </c>
      <c r="B7" s="1">
        <v>1.7899</v>
      </c>
      <c r="C7" s="1">
        <v>33.82</v>
      </c>
      <c r="D7" s="2">
        <f t="shared" si="1"/>
        <v>0.000300000000000026</v>
      </c>
      <c r="E7" s="2">
        <f t="shared" si="0"/>
        <v>0.563666666666667</v>
      </c>
    </row>
    <row r="8" spans="1:13">
      <c r="A8" s="1">
        <v>21.6</v>
      </c>
      <c r="B8" s="1">
        <v>1.7982</v>
      </c>
      <c r="C8" s="1">
        <v>38.65</v>
      </c>
      <c r="D8" s="2">
        <f t="shared" si="1"/>
        <v>0.000374774774774798</v>
      </c>
      <c r="E8" s="2">
        <f t="shared" si="0"/>
        <v>0.644166666666667</v>
      </c>
    </row>
    <row r="9" spans="1:13">
      <c r="A9" s="1">
        <v>21.7</v>
      </c>
      <c r="B9" s="1">
        <v>1.8066</v>
      </c>
      <c r="C9" s="1">
        <v>43.48</v>
      </c>
      <c r="D9" s="2">
        <f t="shared" si="1"/>
        <v>0.000450450450450474</v>
      </c>
      <c r="E9" s="2">
        <f t="shared" si="0"/>
        <v>0.724666666666667</v>
      </c>
    </row>
    <row r="10" spans="1:13">
      <c r="A10" s="1">
        <v>21.8</v>
      </c>
      <c r="B10" s="1">
        <v>1.8149</v>
      </c>
      <c r="C10" s="1">
        <v>49.12</v>
      </c>
      <c r="D10" s="2">
        <f t="shared" si="1"/>
        <v>0.000525225225225249</v>
      </c>
      <c r="E10" s="2">
        <f t="shared" si="0"/>
        <v>0.818666666666667</v>
      </c>
    </row>
    <row r="11" spans="1:13">
      <c r="A11" s="1">
        <v>21.9</v>
      </c>
      <c r="B11" s="1">
        <v>1.8233</v>
      </c>
      <c r="C11" s="1">
        <v>53.95</v>
      </c>
      <c r="D11" s="2">
        <f t="shared" si="1"/>
        <v>0.000600900900900925</v>
      </c>
      <c r="E11" s="2">
        <f t="shared" si="0"/>
        <v>0.899166666666667</v>
      </c>
    </row>
    <row r="12" spans="1:13">
      <c r="A12" s="1">
        <v>22</v>
      </c>
      <c r="B12" s="1">
        <v>1.8316</v>
      </c>
      <c r="C12" s="1">
        <v>59.59</v>
      </c>
      <c r="D12" s="2">
        <f t="shared" si="1"/>
        <v>0.0006756756756757</v>
      </c>
      <c r="E12" s="2">
        <f t="shared" si="0"/>
        <v>0.993166666666667</v>
      </c>
    </row>
    <row r="13" spans="1:13">
      <c r="A13" s="1">
        <v>22.1</v>
      </c>
      <c r="B13" s="1">
        <v>1.8399</v>
      </c>
      <c r="C13" s="1">
        <v>64.42</v>
      </c>
      <c r="D13" s="2">
        <f t="shared" si="1"/>
        <v>0.000750450450450475</v>
      </c>
      <c r="E13" s="2">
        <f t="shared" si="0"/>
        <v>1.07366666666667</v>
      </c>
    </row>
    <row r="14" spans="1:13">
      <c r="A14" s="1">
        <v>22.2</v>
      </c>
      <c r="B14" s="1">
        <v>1.8483</v>
      </c>
      <c r="C14" s="1">
        <v>69.26</v>
      </c>
      <c r="D14" s="2">
        <f t="shared" si="1"/>
        <v>0.000826126126126151</v>
      </c>
      <c r="E14" s="2">
        <f t="shared" si="0"/>
        <v>1.15433333333333</v>
      </c>
    </row>
    <row r="15" spans="1:13">
      <c r="A15" s="1">
        <v>22.3</v>
      </c>
      <c r="B15" s="1">
        <v>1.8566</v>
      </c>
      <c r="C15" s="1">
        <v>74.89</v>
      </c>
      <c r="D15" s="2">
        <f t="shared" si="1"/>
        <v>0.000900900900900926</v>
      </c>
      <c r="E15" s="2">
        <f t="shared" si="0"/>
        <v>1.24816666666667</v>
      </c>
    </row>
    <row r="16" spans="1:13">
      <c r="A16" s="1">
        <v>22.4</v>
      </c>
      <c r="B16" s="1">
        <v>1.8649</v>
      </c>
      <c r="C16" s="1">
        <v>79.72</v>
      </c>
      <c r="D16" s="2">
        <f t="shared" si="1"/>
        <v>0.000975675675675698</v>
      </c>
      <c r="E16" s="2">
        <f t="shared" si="0"/>
        <v>1.32866666666667</v>
      </c>
    </row>
    <row r="17" spans="1:13">
      <c r="A17" s="1">
        <v>22.5</v>
      </c>
      <c r="B17" s="1">
        <v>1.8732</v>
      </c>
      <c r="C17" s="1">
        <v>85.36</v>
      </c>
      <c r="D17" s="2">
        <f t="shared" si="1"/>
        <v>0.00105045045045047</v>
      </c>
      <c r="E17" s="2">
        <f t="shared" si="0"/>
        <v>1.42266666666667</v>
      </c>
    </row>
    <row r="18" spans="1:13">
      <c r="A18" s="1">
        <v>22.6</v>
      </c>
      <c r="B18" s="1">
        <v>1.8816</v>
      </c>
      <c r="C18" s="1">
        <v>90.19</v>
      </c>
      <c r="D18" s="2">
        <f t="shared" si="1"/>
        <v>0.00112612612612615</v>
      </c>
      <c r="E18" s="2">
        <f t="shared" si="0"/>
        <v>1.50316666666667</v>
      </c>
    </row>
    <row r="19" spans="1:13">
      <c r="A19" s="1">
        <v>22.7</v>
      </c>
      <c r="B19" s="1">
        <v>1.8899</v>
      </c>
      <c r="C19" s="1">
        <v>95.83</v>
      </c>
      <c r="D19" s="2">
        <f t="shared" si="1"/>
        <v>0.00120090090090092</v>
      </c>
      <c r="E19" s="2">
        <f t="shared" si="0"/>
        <v>1.59716666666667</v>
      </c>
    </row>
    <row r="20" spans="1:13">
      <c r="A20" s="1">
        <v>22.8</v>
      </c>
      <c r="B20" s="1">
        <v>1.8983</v>
      </c>
      <c r="C20" s="1">
        <v>100.66</v>
      </c>
      <c r="D20" s="2">
        <f t="shared" si="1"/>
        <v>0.0012765765765766</v>
      </c>
      <c r="E20" s="2">
        <f t="shared" si="0"/>
        <v>1.67766666666667</v>
      </c>
    </row>
    <row r="21" spans="1:13">
      <c r="A21" s="1">
        <v>22.9</v>
      </c>
      <c r="B21" s="1">
        <v>1.9066</v>
      </c>
      <c r="C21" s="1">
        <v>106.3</v>
      </c>
      <c r="D21" s="2">
        <f t="shared" si="1"/>
        <v>0.00135135135135138</v>
      </c>
      <c r="E21" s="2">
        <f t="shared" si="0"/>
        <v>1.77166666666667</v>
      </c>
    </row>
    <row r="22" spans="1:13">
      <c r="A22" s="1">
        <v>23</v>
      </c>
      <c r="B22" s="1">
        <v>1.9149</v>
      </c>
      <c r="C22" s="1">
        <v>111.13</v>
      </c>
      <c r="D22" s="2">
        <f t="shared" si="1"/>
        <v>0.00142612612612615</v>
      </c>
      <c r="E22" s="2">
        <f t="shared" si="0"/>
        <v>1.85216666666667</v>
      </c>
    </row>
    <row r="23" spans="1:13">
      <c r="A23" s="1">
        <v>23.1</v>
      </c>
      <c r="B23" s="1">
        <v>1.9233</v>
      </c>
      <c r="C23" s="1">
        <v>115.97</v>
      </c>
      <c r="D23" s="2">
        <f t="shared" si="1"/>
        <v>0.00150180180180183</v>
      </c>
      <c r="E23" s="2">
        <f t="shared" si="0"/>
        <v>1.93283333333333</v>
      </c>
    </row>
    <row r="24" spans="1:13">
      <c r="A24" s="1">
        <v>23.2</v>
      </c>
      <c r="B24" s="1">
        <v>1.9316</v>
      </c>
      <c r="C24" s="1">
        <v>120.8</v>
      </c>
      <c r="D24" s="2">
        <f t="shared" si="1"/>
        <v>0.0015765765765766</v>
      </c>
      <c r="E24" s="2">
        <f t="shared" si="0"/>
        <v>2.01333333333333</v>
      </c>
    </row>
    <row r="25" spans="1:13">
      <c r="A25" s="1">
        <v>23.3</v>
      </c>
      <c r="B25" s="1">
        <v>1.9399</v>
      </c>
      <c r="C25" s="1">
        <v>125.63</v>
      </c>
      <c r="D25" s="2">
        <f t="shared" si="1"/>
        <v>0.00165135135135137</v>
      </c>
      <c r="E25" s="2">
        <f t="shared" si="0"/>
        <v>2.09383333333333</v>
      </c>
    </row>
    <row r="26" spans="1:13">
      <c r="A26" s="1">
        <v>23.4</v>
      </c>
      <c r="B26" s="1">
        <v>1.9482</v>
      </c>
      <c r="C26" s="1">
        <v>131.27001</v>
      </c>
      <c r="D26" s="2">
        <f t="shared" si="1"/>
        <v>0.00172612612612615</v>
      </c>
      <c r="E26" s="2">
        <f t="shared" si="0"/>
        <v>2.1878335</v>
      </c>
      <c r="J26" s="3" t="s">
        <v>14</v>
      </c>
      <c r="K26" s="3"/>
      <c r="L26" s="4">
        <f>MAX(E:E)</f>
        <v>9.32850033333333</v>
      </c>
      <c r="M26" s="3" t="s">
        <v>15</v>
      </c>
    </row>
    <row r="27" spans="1:13">
      <c r="A27" s="1">
        <v>23.5</v>
      </c>
      <c r="B27" s="1">
        <v>1.9566</v>
      </c>
      <c r="C27" s="1">
        <v>136.09999</v>
      </c>
      <c r="D27" s="2">
        <f t="shared" si="1"/>
        <v>0.00180180180180183</v>
      </c>
      <c r="E27" s="2">
        <f t="shared" si="0"/>
        <v>2.26833316666667</v>
      </c>
      <c r="J27" s="3" t="s">
        <v>16</v>
      </c>
      <c r="K27" s="3"/>
      <c r="L27" s="3">
        <v>0.0113360360360361</v>
      </c>
      <c r="M27" s="3" t="s">
        <v>17</v>
      </c>
    </row>
    <row r="28" spans="1:13">
      <c r="A28" s="1">
        <v>23.6</v>
      </c>
      <c r="B28" s="1">
        <v>1.9649</v>
      </c>
      <c r="C28" s="1">
        <v>140.93</v>
      </c>
      <c r="D28" s="2">
        <f t="shared" si="1"/>
        <v>0.0018765765765766</v>
      </c>
      <c r="E28" s="2">
        <f t="shared" si="0"/>
        <v>2.34883333333333</v>
      </c>
    </row>
    <row r="29" spans="1:13">
      <c r="A29" s="1">
        <v>23.7</v>
      </c>
      <c r="B29" s="1">
        <v>1.9733</v>
      </c>
      <c r="C29" s="1">
        <v>145.76</v>
      </c>
      <c r="D29" s="2">
        <f t="shared" si="1"/>
        <v>0.00195225225225228</v>
      </c>
      <c r="E29" s="2">
        <f t="shared" si="0"/>
        <v>2.42933333333333</v>
      </c>
    </row>
    <row r="30" spans="1:13">
      <c r="A30" s="1">
        <v>23.8</v>
      </c>
      <c r="B30" s="1">
        <v>1.9816</v>
      </c>
      <c r="C30" s="1">
        <v>150.6</v>
      </c>
      <c r="D30" s="2">
        <f t="shared" si="1"/>
        <v>0.00202702702702705</v>
      </c>
      <c r="E30" s="2">
        <f t="shared" si="0"/>
        <v>2.51</v>
      </c>
    </row>
    <row r="31" spans="1:13">
      <c r="A31" s="1">
        <v>23.9</v>
      </c>
      <c r="B31" s="1">
        <v>1.9899</v>
      </c>
      <c r="C31" s="1">
        <v>155.43</v>
      </c>
      <c r="D31" s="2">
        <f t="shared" si="1"/>
        <v>0.00210180180180183</v>
      </c>
      <c r="E31" s="2">
        <f t="shared" si="0"/>
        <v>2.5905</v>
      </c>
    </row>
    <row r="32" spans="1:13">
      <c r="A32" s="1">
        <v>24</v>
      </c>
      <c r="B32" s="1">
        <v>1.9983</v>
      </c>
      <c r="C32" s="1">
        <v>161.07</v>
      </c>
      <c r="D32" s="2">
        <f t="shared" si="1"/>
        <v>0.0021774774774775</v>
      </c>
      <c r="E32" s="2">
        <f t="shared" si="0"/>
        <v>2.6845</v>
      </c>
    </row>
    <row r="33" spans="1:5">
      <c r="A33" s="1">
        <v>24.1</v>
      </c>
      <c r="B33" s="1">
        <v>2.0066</v>
      </c>
      <c r="C33" s="1">
        <v>165.90001</v>
      </c>
      <c r="D33" s="2">
        <f t="shared" si="1"/>
        <v>0.00225225225225228</v>
      </c>
      <c r="E33" s="2">
        <f t="shared" si="0"/>
        <v>2.76500016666667</v>
      </c>
    </row>
    <row r="34" spans="1:5">
      <c r="A34" s="1">
        <v>24.2</v>
      </c>
      <c r="B34" s="1">
        <v>2.0149</v>
      </c>
      <c r="C34" s="1">
        <v>170.72999</v>
      </c>
      <c r="D34" s="2">
        <f t="shared" si="1"/>
        <v>0.00232702702702705</v>
      </c>
      <c r="E34" s="2">
        <f t="shared" si="0"/>
        <v>2.84549983333333</v>
      </c>
    </row>
    <row r="35" spans="1:5">
      <c r="A35" s="1">
        <v>24.3</v>
      </c>
      <c r="B35" s="1">
        <v>2.0232</v>
      </c>
      <c r="C35" s="1">
        <v>174.76</v>
      </c>
      <c r="D35" s="2">
        <f t="shared" si="1"/>
        <v>0.00240180180180183</v>
      </c>
      <c r="E35" s="2">
        <f t="shared" si="0"/>
        <v>2.91266666666667</v>
      </c>
    </row>
    <row r="36" spans="1:5">
      <c r="A36" s="1">
        <v>24.4</v>
      </c>
      <c r="B36" s="1">
        <v>2.0316</v>
      </c>
      <c r="C36" s="1">
        <v>180.39</v>
      </c>
      <c r="D36" s="2">
        <f t="shared" si="1"/>
        <v>0.0024774774774775</v>
      </c>
      <c r="E36" s="2">
        <f t="shared" si="0"/>
        <v>3.0065</v>
      </c>
    </row>
    <row r="37" spans="1:5">
      <c r="A37" s="1">
        <v>24.5</v>
      </c>
      <c r="B37" s="1">
        <v>2.0399</v>
      </c>
      <c r="C37" s="1">
        <v>184.42</v>
      </c>
      <c r="D37" s="2">
        <f t="shared" si="1"/>
        <v>0.00255225225225228</v>
      </c>
      <c r="E37" s="2">
        <f t="shared" si="0"/>
        <v>3.07366666666667</v>
      </c>
    </row>
    <row r="38" spans="1:5">
      <c r="A38" s="1">
        <v>24.6</v>
      </c>
      <c r="B38" s="1">
        <v>2.0483</v>
      </c>
      <c r="C38" s="1">
        <v>189.25</v>
      </c>
      <c r="D38" s="2">
        <f t="shared" si="1"/>
        <v>0.00262792792792795</v>
      </c>
      <c r="E38" s="2">
        <f t="shared" si="0"/>
        <v>3.15416666666667</v>
      </c>
    </row>
    <row r="39" spans="1:5">
      <c r="A39" s="1">
        <v>24.7</v>
      </c>
      <c r="B39" s="1">
        <v>2.0566</v>
      </c>
      <c r="C39" s="1">
        <v>194.89001</v>
      </c>
      <c r="D39" s="2">
        <f t="shared" si="1"/>
        <v>0.00270270270270273</v>
      </c>
      <c r="E39" s="2">
        <f t="shared" si="0"/>
        <v>3.24816683333333</v>
      </c>
    </row>
    <row r="40" spans="1:5">
      <c r="A40" s="1">
        <v>24.8</v>
      </c>
      <c r="B40" s="1">
        <v>2.0649</v>
      </c>
      <c r="C40" s="1">
        <v>198.92</v>
      </c>
      <c r="D40" s="2">
        <f t="shared" si="1"/>
        <v>0.0027774774774775</v>
      </c>
      <c r="E40" s="2">
        <f t="shared" si="0"/>
        <v>3.31533333333333</v>
      </c>
    </row>
    <row r="41" spans="1:5">
      <c r="A41" s="1">
        <v>24.9</v>
      </c>
      <c r="B41" s="1">
        <v>2.0733</v>
      </c>
      <c r="C41" s="1">
        <v>203.75</v>
      </c>
      <c r="D41" s="2">
        <f t="shared" si="1"/>
        <v>0.00285315315315318</v>
      </c>
      <c r="E41" s="2">
        <f t="shared" si="0"/>
        <v>3.39583333333333</v>
      </c>
    </row>
    <row r="42" spans="1:5">
      <c r="A42" s="1">
        <v>25</v>
      </c>
      <c r="B42" s="1">
        <v>2.0816</v>
      </c>
      <c r="C42" s="1">
        <v>208.58</v>
      </c>
      <c r="D42" s="2">
        <f t="shared" si="1"/>
        <v>0.00292792792792795</v>
      </c>
      <c r="E42" s="2">
        <f t="shared" si="0"/>
        <v>3.47633333333333</v>
      </c>
    </row>
    <row r="43" spans="1:5">
      <c r="A43" s="1">
        <v>25.1</v>
      </c>
      <c r="B43" s="1">
        <v>2.0899</v>
      </c>
      <c r="C43" s="1">
        <v>214.22</v>
      </c>
      <c r="D43" s="2">
        <f t="shared" si="1"/>
        <v>0.00300270270270273</v>
      </c>
      <c r="E43" s="2">
        <f t="shared" si="0"/>
        <v>3.57033333333333</v>
      </c>
    </row>
    <row r="44" spans="1:5">
      <c r="A44" s="1">
        <v>25.2</v>
      </c>
      <c r="B44" s="1">
        <v>2.0982</v>
      </c>
      <c r="C44" s="1">
        <v>218.25001</v>
      </c>
      <c r="D44" s="2">
        <f t="shared" si="1"/>
        <v>0.0030774774774775</v>
      </c>
      <c r="E44" s="2">
        <f t="shared" si="0"/>
        <v>3.63750016666667</v>
      </c>
    </row>
    <row r="45" spans="1:5">
      <c r="A45" s="1">
        <v>25.3</v>
      </c>
      <c r="B45" s="1">
        <v>2.1066</v>
      </c>
      <c r="C45" s="1">
        <v>223.07999</v>
      </c>
      <c r="D45" s="2">
        <f t="shared" si="1"/>
        <v>0.00315315315315318</v>
      </c>
      <c r="E45" s="2">
        <f t="shared" si="0"/>
        <v>3.71799983333333</v>
      </c>
    </row>
    <row r="46" spans="1:5">
      <c r="A46" s="1">
        <v>25.4</v>
      </c>
      <c r="B46" s="1">
        <v>2.1149</v>
      </c>
      <c r="C46" s="1">
        <v>227.91</v>
      </c>
      <c r="D46" s="2">
        <f t="shared" si="1"/>
        <v>0.00322792792792795</v>
      </c>
      <c r="E46" s="2">
        <f t="shared" si="0"/>
        <v>3.7985</v>
      </c>
    </row>
    <row r="47" spans="1:5">
      <c r="A47" s="1">
        <v>25.5</v>
      </c>
      <c r="B47" s="1">
        <v>2.1233</v>
      </c>
      <c r="C47" s="1">
        <v>232.74</v>
      </c>
      <c r="D47" s="2">
        <f t="shared" si="1"/>
        <v>0.00330360360360363</v>
      </c>
      <c r="E47" s="2">
        <f t="shared" si="0"/>
        <v>3.879</v>
      </c>
    </row>
    <row r="48" spans="1:5">
      <c r="A48" s="1">
        <v>25.6</v>
      </c>
      <c r="B48" s="1">
        <v>2.1316</v>
      </c>
      <c r="C48" s="1">
        <v>236.76999</v>
      </c>
      <c r="D48" s="2">
        <f t="shared" si="1"/>
        <v>0.0033783783783784</v>
      </c>
      <c r="E48" s="2">
        <f t="shared" ref="E48:E111" si="2">C48/$L$4</f>
        <v>3.9461665</v>
      </c>
    </row>
    <row r="49" spans="1:5">
      <c r="A49" s="1">
        <v>25.7</v>
      </c>
      <c r="B49" s="1">
        <v>2.1399</v>
      </c>
      <c r="C49" s="1">
        <v>242.41</v>
      </c>
      <c r="D49" s="2">
        <f t="shared" si="1"/>
        <v>0.00345315315315317</v>
      </c>
      <c r="E49" s="2">
        <f t="shared" si="2"/>
        <v>4.04016666666667</v>
      </c>
    </row>
    <row r="50" spans="1:5">
      <c r="A50" s="1">
        <v>25.8</v>
      </c>
      <c r="B50" s="1">
        <v>2.1483</v>
      </c>
      <c r="C50" s="1">
        <v>246.42999</v>
      </c>
      <c r="D50" s="2">
        <f t="shared" si="1"/>
        <v>0.00352882882882885</v>
      </c>
      <c r="E50" s="2">
        <f t="shared" si="2"/>
        <v>4.1071665</v>
      </c>
    </row>
    <row r="51" spans="1:5">
      <c r="A51" s="1">
        <v>25.9</v>
      </c>
      <c r="B51" s="1">
        <v>2.1566</v>
      </c>
      <c r="C51" s="1">
        <v>251.26001</v>
      </c>
      <c r="D51" s="2">
        <f t="shared" si="1"/>
        <v>0.00360360360360363</v>
      </c>
      <c r="E51" s="2">
        <f t="shared" si="2"/>
        <v>4.18766683333333</v>
      </c>
    </row>
    <row r="52" spans="1:5">
      <c r="A52" s="1">
        <v>26</v>
      </c>
      <c r="B52" s="1">
        <v>2.1649</v>
      </c>
      <c r="C52" s="1">
        <v>256.1</v>
      </c>
      <c r="D52" s="2">
        <f t="shared" si="1"/>
        <v>0.0036783783783784</v>
      </c>
      <c r="E52" s="2">
        <f t="shared" si="2"/>
        <v>4.26833333333333</v>
      </c>
    </row>
    <row r="53" spans="1:5">
      <c r="A53" s="1">
        <v>26.1</v>
      </c>
      <c r="B53" s="1">
        <v>2.1732</v>
      </c>
      <c r="C53" s="1">
        <v>260.92999</v>
      </c>
      <c r="D53" s="2">
        <f t="shared" si="1"/>
        <v>0.00375315315315318</v>
      </c>
      <c r="E53" s="2">
        <f t="shared" si="2"/>
        <v>4.34883316666667</v>
      </c>
    </row>
    <row r="54" spans="1:5">
      <c r="A54" s="1">
        <v>26.2</v>
      </c>
      <c r="B54" s="1">
        <v>2.1816</v>
      </c>
      <c r="C54" s="1">
        <v>265.76</v>
      </c>
      <c r="D54" s="2">
        <f t="shared" si="1"/>
        <v>0.00382882882882885</v>
      </c>
      <c r="E54" s="2">
        <f t="shared" si="2"/>
        <v>4.42933333333333</v>
      </c>
    </row>
    <row r="55" spans="1:5">
      <c r="A55" s="1">
        <v>26.3</v>
      </c>
      <c r="B55" s="1">
        <v>2.1899</v>
      </c>
      <c r="C55" s="1">
        <v>269.78999</v>
      </c>
      <c r="D55" s="2">
        <f t="shared" si="1"/>
        <v>0.00390360360360363</v>
      </c>
      <c r="E55" s="2">
        <f t="shared" si="2"/>
        <v>4.49649983333333</v>
      </c>
    </row>
    <row r="56" spans="1:5">
      <c r="A56" s="1">
        <v>26.4</v>
      </c>
      <c r="B56" s="1">
        <v>2.1982</v>
      </c>
      <c r="C56" s="1">
        <v>274.62001</v>
      </c>
      <c r="D56" s="2">
        <f t="shared" si="1"/>
        <v>0.0039783783783784</v>
      </c>
      <c r="E56" s="2">
        <f t="shared" si="2"/>
        <v>4.57700016666667</v>
      </c>
    </row>
    <row r="57" spans="1:5">
      <c r="A57" s="1">
        <v>26.5</v>
      </c>
      <c r="B57" s="1">
        <v>2.2066</v>
      </c>
      <c r="C57" s="1">
        <v>279.45</v>
      </c>
      <c r="D57" s="2">
        <f t="shared" si="1"/>
        <v>0.00405405405405408</v>
      </c>
      <c r="E57" s="2">
        <f t="shared" si="2"/>
        <v>4.6575</v>
      </c>
    </row>
    <row r="58" spans="1:5">
      <c r="A58" s="1">
        <v>26.6</v>
      </c>
      <c r="B58" s="1">
        <v>2.2149</v>
      </c>
      <c r="C58" s="1">
        <v>283.47999</v>
      </c>
      <c r="D58" s="2">
        <f t="shared" si="1"/>
        <v>0.00412882882882885</v>
      </c>
      <c r="E58" s="2">
        <f t="shared" si="2"/>
        <v>4.7246665</v>
      </c>
    </row>
    <row r="59" spans="1:5">
      <c r="A59" s="1">
        <v>26.7</v>
      </c>
      <c r="B59" s="1">
        <v>2.2233</v>
      </c>
      <c r="C59" s="1">
        <v>288.31</v>
      </c>
      <c r="D59" s="2">
        <f t="shared" si="1"/>
        <v>0.00420450450450453</v>
      </c>
      <c r="E59" s="2">
        <f t="shared" si="2"/>
        <v>4.80516666666667</v>
      </c>
    </row>
    <row r="60" spans="1:5">
      <c r="A60" s="1">
        <v>26.8</v>
      </c>
      <c r="B60" s="1">
        <v>2.2316</v>
      </c>
      <c r="C60" s="1">
        <v>293.13999</v>
      </c>
      <c r="D60" s="2">
        <f t="shared" si="1"/>
        <v>0.0042792792792793</v>
      </c>
      <c r="E60" s="2">
        <f t="shared" si="2"/>
        <v>4.8856665</v>
      </c>
    </row>
    <row r="61" spans="1:5">
      <c r="A61" s="1">
        <v>26.9</v>
      </c>
      <c r="B61" s="1">
        <v>2.2399</v>
      </c>
      <c r="C61" s="1">
        <v>297.98001</v>
      </c>
      <c r="D61" s="2">
        <f t="shared" si="1"/>
        <v>0.00435405405405408</v>
      </c>
      <c r="E61" s="2">
        <f t="shared" si="2"/>
        <v>4.9663335</v>
      </c>
    </row>
    <row r="62" spans="1:5">
      <c r="A62" s="1">
        <v>27</v>
      </c>
      <c r="B62" s="1">
        <v>2.2482</v>
      </c>
      <c r="C62" s="1">
        <v>302</v>
      </c>
      <c r="D62" s="2">
        <f t="shared" si="1"/>
        <v>0.00442882882882886</v>
      </c>
      <c r="E62" s="2">
        <f t="shared" si="2"/>
        <v>5.03333333333333</v>
      </c>
    </row>
    <row r="63" spans="1:5">
      <c r="A63" s="1">
        <v>27.1</v>
      </c>
      <c r="B63" s="1">
        <v>2.2566</v>
      </c>
      <c r="C63" s="1">
        <v>306.82999</v>
      </c>
      <c r="D63" s="2">
        <f t="shared" si="1"/>
        <v>0.00450450450450453</v>
      </c>
      <c r="E63" s="2">
        <f t="shared" si="2"/>
        <v>5.11383316666667</v>
      </c>
    </row>
    <row r="64" spans="1:5">
      <c r="A64" s="1">
        <v>27.2</v>
      </c>
      <c r="B64" s="1">
        <v>2.2649</v>
      </c>
      <c r="C64" s="1">
        <v>311.67001</v>
      </c>
      <c r="D64" s="2">
        <f t="shared" si="1"/>
        <v>0.0045792792792793</v>
      </c>
      <c r="E64" s="2">
        <f t="shared" si="2"/>
        <v>5.19450016666667</v>
      </c>
    </row>
    <row r="65" spans="1:5">
      <c r="A65" s="1">
        <v>27.3</v>
      </c>
      <c r="B65" s="1">
        <v>2.2732</v>
      </c>
      <c r="C65" s="1">
        <v>315.68999</v>
      </c>
      <c r="D65" s="2">
        <f t="shared" si="1"/>
        <v>0.00465405405405408</v>
      </c>
      <c r="E65" s="2">
        <f t="shared" si="2"/>
        <v>5.26149983333333</v>
      </c>
    </row>
    <row r="66" spans="1:5">
      <c r="A66" s="1">
        <v>27.4</v>
      </c>
      <c r="B66" s="1">
        <v>2.2815</v>
      </c>
      <c r="C66" s="1">
        <v>319.72001</v>
      </c>
      <c r="D66" s="2">
        <f t="shared" si="1"/>
        <v>0.00472882882882885</v>
      </c>
      <c r="E66" s="2">
        <f t="shared" si="2"/>
        <v>5.32866683333333</v>
      </c>
    </row>
    <row r="67" spans="1:5">
      <c r="A67" s="1">
        <v>27.5</v>
      </c>
      <c r="B67" s="1">
        <v>2.2899</v>
      </c>
      <c r="C67" s="1">
        <v>324.55</v>
      </c>
      <c r="D67" s="2">
        <f t="shared" si="1"/>
        <v>0.00480450450450453</v>
      </c>
      <c r="E67" s="2">
        <f t="shared" si="2"/>
        <v>5.40916666666667</v>
      </c>
    </row>
    <row r="68" spans="1:5">
      <c r="A68" s="1">
        <v>27.6</v>
      </c>
      <c r="B68" s="1">
        <v>2.2983</v>
      </c>
      <c r="C68" s="1">
        <v>329.37999</v>
      </c>
      <c r="D68" s="2">
        <f t="shared" ref="D68:D131" si="3">((B68/$L$3))-0.0158252252252252</f>
        <v>0.0048801801801802</v>
      </c>
      <c r="E68" s="2">
        <f t="shared" si="2"/>
        <v>5.4896665</v>
      </c>
    </row>
    <row r="69" spans="1:5">
      <c r="A69" s="1">
        <v>27.7</v>
      </c>
      <c r="B69" s="1">
        <v>2.3066</v>
      </c>
      <c r="C69" s="1">
        <v>333.41001</v>
      </c>
      <c r="D69" s="2">
        <f t="shared" si="3"/>
        <v>0.00495495495495498</v>
      </c>
      <c r="E69" s="2">
        <f t="shared" si="2"/>
        <v>5.5568335</v>
      </c>
    </row>
    <row r="70" spans="1:5">
      <c r="A70" s="1">
        <v>27.8</v>
      </c>
      <c r="B70" s="1">
        <v>2.3149</v>
      </c>
      <c r="C70" s="1">
        <v>338.24</v>
      </c>
      <c r="D70" s="2">
        <f t="shared" si="3"/>
        <v>0.00502972972972976</v>
      </c>
      <c r="E70" s="2">
        <f t="shared" si="2"/>
        <v>5.63733333333333</v>
      </c>
    </row>
    <row r="71" spans="1:5">
      <c r="A71" s="1">
        <v>27.9</v>
      </c>
      <c r="B71" s="1">
        <v>2.3232</v>
      </c>
      <c r="C71" s="1">
        <v>342.26999</v>
      </c>
      <c r="D71" s="2">
        <f t="shared" si="3"/>
        <v>0.00510450450450453</v>
      </c>
      <c r="E71" s="2">
        <f t="shared" si="2"/>
        <v>5.70449983333333</v>
      </c>
    </row>
    <row r="72" spans="1:5">
      <c r="A72" s="1">
        <v>28</v>
      </c>
      <c r="B72" s="1">
        <v>2.3316</v>
      </c>
      <c r="C72" s="1">
        <v>347.1</v>
      </c>
      <c r="D72" s="2">
        <f t="shared" si="3"/>
        <v>0.0051801801801802</v>
      </c>
      <c r="E72" s="2">
        <f t="shared" si="2"/>
        <v>5.785</v>
      </c>
    </row>
    <row r="73" spans="1:5">
      <c r="A73" s="1">
        <v>28.1</v>
      </c>
      <c r="B73" s="1">
        <v>2.3399</v>
      </c>
      <c r="C73" s="1">
        <v>351.12999</v>
      </c>
      <c r="D73" s="2">
        <f t="shared" si="3"/>
        <v>0.00525495495495498</v>
      </c>
      <c r="E73" s="2">
        <f t="shared" si="2"/>
        <v>5.8521665</v>
      </c>
    </row>
    <row r="74" spans="1:5">
      <c r="A74" s="1">
        <v>28.2</v>
      </c>
      <c r="B74" s="1">
        <v>2.3482</v>
      </c>
      <c r="C74" s="1">
        <v>355.96001</v>
      </c>
      <c r="D74" s="2">
        <f t="shared" si="3"/>
        <v>0.00532972972972975</v>
      </c>
      <c r="E74" s="2">
        <f t="shared" si="2"/>
        <v>5.93266683333333</v>
      </c>
    </row>
    <row r="75" spans="1:5">
      <c r="A75" s="1">
        <v>28.3</v>
      </c>
      <c r="B75" s="1">
        <v>2.3565</v>
      </c>
      <c r="C75" s="1">
        <v>359.99</v>
      </c>
      <c r="D75" s="2">
        <f t="shared" si="3"/>
        <v>0.00540450450450453</v>
      </c>
      <c r="E75" s="2">
        <f t="shared" si="2"/>
        <v>5.99983333333333</v>
      </c>
    </row>
    <row r="76" spans="1:5">
      <c r="A76" s="1">
        <v>28.4</v>
      </c>
      <c r="B76" s="1">
        <v>2.3649</v>
      </c>
      <c r="C76" s="1">
        <v>364.00999</v>
      </c>
      <c r="D76" s="2">
        <f t="shared" si="3"/>
        <v>0.00548018018018021</v>
      </c>
      <c r="E76" s="2">
        <f t="shared" si="2"/>
        <v>6.06683316666667</v>
      </c>
    </row>
    <row r="77" spans="1:5">
      <c r="A77" s="1">
        <v>28.5</v>
      </c>
      <c r="B77" s="1">
        <v>2.3733</v>
      </c>
      <c r="C77" s="1">
        <v>368.04001</v>
      </c>
      <c r="D77" s="2">
        <f t="shared" si="3"/>
        <v>0.00555585585585588</v>
      </c>
      <c r="E77" s="2">
        <f t="shared" si="2"/>
        <v>6.13400016666667</v>
      </c>
    </row>
    <row r="78" spans="1:5">
      <c r="A78" s="1">
        <v>28.6</v>
      </c>
      <c r="B78" s="1">
        <v>2.3816</v>
      </c>
      <c r="C78" s="1">
        <v>372.87</v>
      </c>
      <c r="D78" s="2">
        <f t="shared" si="3"/>
        <v>0.00563063063063066</v>
      </c>
      <c r="E78" s="2">
        <f t="shared" si="2"/>
        <v>6.2145</v>
      </c>
    </row>
    <row r="79" spans="1:5">
      <c r="A79" s="1">
        <v>28.7</v>
      </c>
      <c r="B79" s="1">
        <v>2.3899</v>
      </c>
      <c r="C79" s="1">
        <v>376.08999</v>
      </c>
      <c r="D79" s="2">
        <f t="shared" si="3"/>
        <v>0.00570540540540543</v>
      </c>
      <c r="E79" s="2">
        <f t="shared" si="2"/>
        <v>6.2681665</v>
      </c>
    </row>
    <row r="80" spans="1:5">
      <c r="A80" s="1">
        <v>28.8</v>
      </c>
      <c r="B80" s="1">
        <v>2.3982</v>
      </c>
      <c r="C80" s="1">
        <v>380.93001</v>
      </c>
      <c r="D80" s="2">
        <f t="shared" si="3"/>
        <v>0.0057801801801802</v>
      </c>
      <c r="E80" s="2">
        <f t="shared" si="2"/>
        <v>6.3488335</v>
      </c>
    </row>
    <row r="81" spans="1:5">
      <c r="A81" s="1">
        <v>28.9</v>
      </c>
      <c r="B81" s="1">
        <v>2.4066</v>
      </c>
      <c r="C81" s="1">
        <v>384.95</v>
      </c>
      <c r="D81" s="2">
        <f t="shared" si="3"/>
        <v>0.00585585585585588</v>
      </c>
      <c r="E81" s="2">
        <f t="shared" si="2"/>
        <v>6.41583333333333</v>
      </c>
    </row>
    <row r="82" spans="1:5">
      <c r="A82" s="1">
        <v>29</v>
      </c>
      <c r="B82" s="1">
        <v>2.4149</v>
      </c>
      <c r="C82" s="1">
        <v>388.97999</v>
      </c>
      <c r="D82" s="2">
        <f t="shared" si="3"/>
        <v>0.00593063063063065</v>
      </c>
      <c r="E82" s="2">
        <f t="shared" si="2"/>
        <v>6.48299983333333</v>
      </c>
    </row>
    <row r="83" spans="1:5">
      <c r="A83" s="1">
        <v>29.1</v>
      </c>
      <c r="B83" s="1">
        <v>2.4232</v>
      </c>
      <c r="C83" s="1">
        <v>393.01001</v>
      </c>
      <c r="D83" s="2">
        <f t="shared" si="3"/>
        <v>0.00600540540540543</v>
      </c>
      <c r="E83" s="2">
        <f t="shared" si="2"/>
        <v>6.55016683333333</v>
      </c>
    </row>
    <row r="84" spans="1:5">
      <c r="A84" s="1">
        <v>29.2</v>
      </c>
      <c r="B84" s="1">
        <v>2.4315</v>
      </c>
      <c r="C84" s="1">
        <v>397.02999</v>
      </c>
      <c r="D84" s="2">
        <f t="shared" si="3"/>
        <v>0.00608018018018021</v>
      </c>
      <c r="E84" s="2">
        <f t="shared" si="2"/>
        <v>6.6171665</v>
      </c>
    </row>
    <row r="85" spans="1:5">
      <c r="A85" s="1">
        <v>29.3</v>
      </c>
      <c r="B85" s="1">
        <v>2.4399</v>
      </c>
      <c r="C85" s="1">
        <v>401.06001</v>
      </c>
      <c r="D85" s="2">
        <f t="shared" si="3"/>
        <v>0.00615585585585588</v>
      </c>
      <c r="E85" s="2">
        <f t="shared" si="2"/>
        <v>6.6843335</v>
      </c>
    </row>
    <row r="86" spans="1:5">
      <c r="A86" s="1">
        <v>29.4</v>
      </c>
      <c r="B86" s="1">
        <v>2.4483</v>
      </c>
      <c r="C86" s="1">
        <v>405.09</v>
      </c>
      <c r="D86" s="2">
        <f t="shared" si="3"/>
        <v>0.00623153153153156</v>
      </c>
      <c r="E86" s="2">
        <f t="shared" si="2"/>
        <v>6.7515</v>
      </c>
    </row>
    <row r="87" spans="1:5">
      <c r="A87" s="1">
        <v>29.5</v>
      </c>
      <c r="B87" s="1">
        <v>2.4566</v>
      </c>
      <c r="C87" s="1">
        <v>409.10999</v>
      </c>
      <c r="D87" s="2">
        <f t="shared" si="3"/>
        <v>0.00630630630630633</v>
      </c>
      <c r="E87" s="2">
        <f t="shared" si="2"/>
        <v>6.81849983333333</v>
      </c>
    </row>
    <row r="88" spans="1:5">
      <c r="A88" s="1">
        <v>29.6</v>
      </c>
      <c r="B88" s="1">
        <v>2.4649</v>
      </c>
      <c r="C88" s="1">
        <v>413.14001</v>
      </c>
      <c r="D88" s="2">
        <f t="shared" si="3"/>
        <v>0.00638108108108111</v>
      </c>
      <c r="E88" s="2">
        <f t="shared" si="2"/>
        <v>6.88566683333333</v>
      </c>
    </row>
    <row r="89" spans="1:5">
      <c r="A89" s="1">
        <v>29.7</v>
      </c>
      <c r="B89" s="1">
        <v>2.4732</v>
      </c>
      <c r="C89" s="1">
        <v>417.17</v>
      </c>
      <c r="D89" s="2">
        <f t="shared" si="3"/>
        <v>0.00645585585585588</v>
      </c>
      <c r="E89" s="2">
        <f t="shared" si="2"/>
        <v>6.95283333333333</v>
      </c>
    </row>
    <row r="90" spans="1:5">
      <c r="A90" s="1">
        <v>29.8</v>
      </c>
      <c r="B90" s="1">
        <v>2.4816</v>
      </c>
      <c r="C90" s="1">
        <v>421.18999</v>
      </c>
      <c r="D90" s="2">
        <f t="shared" si="3"/>
        <v>0.00653153153153156</v>
      </c>
      <c r="E90" s="2">
        <f t="shared" si="2"/>
        <v>7.01983316666667</v>
      </c>
    </row>
    <row r="91" spans="1:5">
      <c r="A91" s="1">
        <v>29.9</v>
      </c>
      <c r="B91" s="1">
        <v>2.4899</v>
      </c>
      <c r="C91" s="1">
        <v>425.22001</v>
      </c>
      <c r="D91" s="2">
        <f t="shared" si="3"/>
        <v>0.00660630630630633</v>
      </c>
      <c r="E91" s="2">
        <f t="shared" si="2"/>
        <v>7.08700016666667</v>
      </c>
    </row>
    <row r="92" spans="1:5">
      <c r="A92" s="1">
        <v>30</v>
      </c>
      <c r="B92" s="1">
        <v>2.4982</v>
      </c>
      <c r="C92" s="1">
        <v>429.25</v>
      </c>
      <c r="D92" s="2">
        <f t="shared" si="3"/>
        <v>0.00668108108108111</v>
      </c>
      <c r="E92" s="2">
        <f t="shared" si="2"/>
        <v>7.15416666666667</v>
      </c>
    </row>
    <row r="93" spans="1:5">
      <c r="A93" s="1">
        <v>30.1</v>
      </c>
      <c r="B93" s="1">
        <v>2.5065</v>
      </c>
      <c r="C93" s="1">
        <v>433.26999</v>
      </c>
      <c r="D93" s="2">
        <f t="shared" si="3"/>
        <v>0.00675585585585588</v>
      </c>
      <c r="E93" s="2">
        <f t="shared" si="2"/>
        <v>7.2211665</v>
      </c>
    </row>
    <row r="94" spans="1:5">
      <c r="A94" s="1">
        <v>30.2</v>
      </c>
      <c r="B94" s="1">
        <v>2.5149</v>
      </c>
      <c r="C94" s="1">
        <v>436.50001</v>
      </c>
      <c r="D94" s="2">
        <f t="shared" si="3"/>
        <v>0.00683153153153155</v>
      </c>
      <c r="E94" s="2">
        <f t="shared" si="2"/>
        <v>7.27500016666667</v>
      </c>
    </row>
    <row r="95" spans="1:5">
      <c r="A95" s="1">
        <v>30.3</v>
      </c>
      <c r="B95" s="1">
        <v>2.5233</v>
      </c>
      <c r="C95" s="1">
        <v>440.52</v>
      </c>
      <c r="D95" s="2">
        <f t="shared" si="3"/>
        <v>0.00690720720720723</v>
      </c>
      <c r="E95" s="2">
        <f t="shared" si="2"/>
        <v>7.342</v>
      </c>
    </row>
    <row r="96" spans="1:5">
      <c r="A96" s="1">
        <v>30.4</v>
      </c>
      <c r="B96" s="1">
        <v>2.5316</v>
      </c>
      <c r="C96" s="1">
        <v>444.54999</v>
      </c>
      <c r="D96" s="2">
        <f t="shared" si="3"/>
        <v>0.00698198198198201</v>
      </c>
      <c r="E96" s="2">
        <f t="shared" si="2"/>
        <v>7.4091665</v>
      </c>
    </row>
    <row r="97" spans="1:5">
      <c r="A97" s="1">
        <v>30.5</v>
      </c>
      <c r="B97" s="1">
        <v>2.5399</v>
      </c>
      <c r="C97" s="1">
        <v>447.77001</v>
      </c>
      <c r="D97" s="2">
        <f t="shared" si="3"/>
        <v>0.00705675675675678</v>
      </c>
      <c r="E97" s="2">
        <f t="shared" si="2"/>
        <v>7.4628335</v>
      </c>
    </row>
    <row r="98" spans="1:5">
      <c r="A98" s="1">
        <v>30.6</v>
      </c>
      <c r="B98" s="1">
        <v>2.5482</v>
      </c>
      <c r="C98" s="1">
        <v>451.8</v>
      </c>
      <c r="D98" s="2">
        <f t="shared" si="3"/>
        <v>0.00713153153153155</v>
      </c>
      <c r="E98" s="2">
        <f t="shared" si="2"/>
        <v>7.53</v>
      </c>
    </row>
    <row r="99" spans="1:5">
      <c r="A99" s="1">
        <v>30.7</v>
      </c>
      <c r="B99" s="1">
        <v>2.5566</v>
      </c>
      <c r="C99" s="1">
        <v>455.02</v>
      </c>
      <c r="D99" s="2">
        <f t="shared" si="3"/>
        <v>0.00720720720720723</v>
      </c>
      <c r="E99" s="2">
        <f t="shared" si="2"/>
        <v>7.58366666666667</v>
      </c>
    </row>
    <row r="100" spans="1:5">
      <c r="A100" s="1">
        <v>30.8</v>
      </c>
      <c r="B100" s="1">
        <v>2.5649</v>
      </c>
      <c r="C100" s="1">
        <v>459.04999</v>
      </c>
      <c r="D100" s="2">
        <f t="shared" si="3"/>
        <v>0.00728198198198201</v>
      </c>
      <c r="E100" s="2">
        <f t="shared" si="2"/>
        <v>7.65083316666667</v>
      </c>
    </row>
    <row r="101" spans="1:5">
      <c r="A101" s="1">
        <v>30.9</v>
      </c>
      <c r="B101" s="1">
        <v>2.5732</v>
      </c>
      <c r="C101" s="1">
        <v>462.27001</v>
      </c>
      <c r="D101" s="2">
        <f t="shared" si="3"/>
        <v>0.00735675675675678</v>
      </c>
      <c r="E101" s="2">
        <f t="shared" si="2"/>
        <v>7.70450016666667</v>
      </c>
    </row>
    <row r="102" spans="1:5">
      <c r="A102" s="1">
        <v>31</v>
      </c>
      <c r="B102" s="1">
        <v>2.5815</v>
      </c>
      <c r="C102" s="1">
        <v>465.49</v>
      </c>
      <c r="D102" s="2">
        <f t="shared" si="3"/>
        <v>0.00743153153153156</v>
      </c>
      <c r="E102" s="2">
        <f t="shared" si="2"/>
        <v>7.75816666666667</v>
      </c>
    </row>
    <row r="103" spans="1:5">
      <c r="A103" s="1">
        <v>31.1</v>
      </c>
      <c r="B103" s="1">
        <v>2.5899</v>
      </c>
      <c r="C103" s="1">
        <v>468.70999</v>
      </c>
      <c r="D103" s="2">
        <f t="shared" si="3"/>
        <v>0.00750720720720723</v>
      </c>
      <c r="E103" s="2">
        <f t="shared" si="2"/>
        <v>7.81183316666667</v>
      </c>
    </row>
    <row r="104" spans="1:5">
      <c r="A104" s="1">
        <v>31.2</v>
      </c>
      <c r="B104" s="1">
        <v>2.5983</v>
      </c>
      <c r="C104" s="1">
        <v>472.74001</v>
      </c>
      <c r="D104" s="2">
        <f t="shared" si="3"/>
        <v>0.00758288288288291</v>
      </c>
      <c r="E104" s="2">
        <f t="shared" si="2"/>
        <v>7.87900016666667</v>
      </c>
    </row>
    <row r="105" spans="1:5">
      <c r="A105" s="1">
        <v>31.3</v>
      </c>
      <c r="B105" s="1">
        <v>2.6066</v>
      </c>
      <c r="C105" s="1">
        <v>475.96</v>
      </c>
      <c r="D105" s="2">
        <f t="shared" si="3"/>
        <v>0.00765765765765768</v>
      </c>
      <c r="E105" s="2">
        <f t="shared" si="2"/>
        <v>7.93266666666667</v>
      </c>
    </row>
    <row r="106" spans="1:5">
      <c r="A106" s="1">
        <v>31.4</v>
      </c>
      <c r="B106" s="1">
        <v>2.6149</v>
      </c>
      <c r="C106" s="1">
        <v>479.17999</v>
      </c>
      <c r="D106" s="2">
        <f t="shared" si="3"/>
        <v>0.00773243243243246</v>
      </c>
      <c r="E106" s="2">
        <f t="shared" si="2"/>
        <v>7.98633316666667</v>
      </c>
    </row>
    <row r="107" spans="1:5">
      <c r="A107" s="1">
        <v>31.5</v>
      </c>
      <c r="B107" s="1">
        <v>2.6232</v>
      </c>
      <c r="C107" s="1">
        <v>482.39999</v>
      </c>
      <c r="D107" s="2">
        <f t="shared" si="3"/>
        <v>0.00780720720720723</v>
      </c>
      <c r="E107" s="2">
        <f t="shared" si="2"/>
        <v>8.03999983333333</v>
      </c>
    </row>
    <row r="108" spans="1:5">
      <c r="A108" s="1">
        <v>31.6</v>
      </c>
      <c r="B108" s="1">
        <v>2.6316</v>
      </c>
      <c r="C108" s="1">
        <v>485.61998</v>
      </c>
      <c r="D108" s="2">
        <f t="shared" si="3"/>
        <v>0.00788288288288291</v>
      </c>
      <c r="E108" s="2">
        <f t="shared" si="2"/>
        <v>8.09366633333333</v>
      </c>
    </row>
    <row r="109" spans="1:5">
      <c r="A109" s="1">
        <v>31.7</v>
      </c>
      <c r="B109" s="1">
        <v>2.6399</v>
      </c>
      <c r="C109" s="1">
        <v>487.22997</v>
      </c>
      <c r="D109" s="2">
        <f t="shared" si="3"/>
        <v>0.00795765765765768</v>
      </c>
      <c r="E109" s="2">
        <f t="shared" si="2"/>
        <v>8.1204995</v>
      </c>
    </row>
    <row r="110" spans="1:5">
      <c r="A110" s="1">
        <v>31.8</v>
      </c>
      <c r="B110" s="1">
        <v>2.6482</v>
      </c>
      <c r="C110" s="1">
        <v>489.65</v>
      </c>
      <c r="D110" s="2">
        <f t="shared" si="3"/>
        <v>0.00803243243243246</v>
      </c>
      <c r="E110" s="2">
        <f t="shared" si="2"/>
        <v>8.16083333333333</v>
      </c>
    </row>
    <row r="111" spans="1:5">
      <c r="A111" s="1">
        <v>31.9</v>
      </c>
      <c r="B111" s="1">
        <v>2.6565</v>
      </c>
      <c r="C111" s="1">
        <v>492.07002</v>
      </c>
      <c r="D111" s="2">
        <f t="shared" si="3"/>
        <v>0.00810720720720723</v>
      </c>
      <c r="E111" s="2">
        <f t="shared" si="2"/>
        <v>8.201167</v>
      </c>
    </row>
    <row r="112" spans="1:5">
      <c r="A112" s="1">
        <v>32</v>
      </c>
      <c r="B112" s="1">
        <v>2.6649</v>
      </c>
      <c r="C112" s="1">
        <v>494.47998</v>
      </c>
      <c r="D112" s="2">
        <f t="shared" si="3"/>
        <v>0.0081828828828829</v>
      </c>
      <c r="E112" s="2">
        <f t="shared" ref="E112:E161" si="4">C112/$L$4</f>
        <v>8.241333</v>
      </c>
    </row>
    <row r="113" spans="1:5">
      <c r="A113" s="1">
        <v>32.1</v>
      </c>
      <c r="B113" s="1">
        <v>2.6733</v>
      </c>
      <c r="C113" s="1">
        <v>497.69998</v>
      </c>
      <c r="D113" s="2">
        <f t="shared" si="3"/>
        <v>0.00825855855855858</v>
      </c>
      <c r="E113" s="2">
        <f t="shared" si="4"/>
        <v>8.29499966666667</v>
      </c>
    </row>
    <row r="114" spans="1:5">
      <c r="A114" s="1">
        <v>32.2</v>
      </c>
      <c r="B114" s="1">
        <v>2.6816</v>
      </c>
      <c r="C114" s="1">
        <v>500.12</v>
      </c>
      <c r="D114" s="2">
        <f t="shared" si="3"/>
        <v>0.00833333333333336</v>
      </c>
      <c r="E114" s="2">
        <f t="shared" si="4"/>
        <v>8.33533333333333</v>
      </c>
    </row>
    <row r="115" spans="1:5">
      <c r="A115" s="1">
        <v>32.3</v>
      </c>
      <c r="B115" s="1">
        <v>2.6899</v>
      </c>
      <c r="C115" s="1">
        <v>502.53002</v>
      </c>
      <c r="D115" s="2">
        <f t="shared" si="3"/>
        <v>0.00840810810810813</v>
      </c>
      <c r="E115" s="2">
        <f t="shared" si="4"/>
        <v>8.37550033333333</v>
      </c>
    </row>
    <row r="116" spans="1:5">
      <c r="A116" s="1">
        <v>32.4</v>
      </c>
      <c r="B116" s="1">
        <v>2.6982</v>
      </c>
      <c r="C116" s="1">
        <v>504.94999</v>
      </c>
      <c r="D116" s="2">
        <f t="shared" si="3"/>
        <v>0.00848288288288291</v>
      </c>
      <c r="E116" s="2">
        <f t="shared" si="4"/>
        <v>8.41583316666667</v>
      </c>
    </row>
    <row r="117" spans="1:5">
      <c r="A117" s="1">
        <v>32.5</v>
      </c>
      <c r="B117" s="1">
        <v>2.7066</v>
      </c>
      <c r="C117" s="1">
        <v>507.37001</v>
      </c>
      <c r="D117" s="2">
        <f t="shared" si="3"/>
        <v>0.00855855855855858</v>
      </c>
      <c r="E117" s="2">
        <f t="shared" si="4"/>
        <v>8.45616683333333</v>
      </c>
    </row>
    <row r="118" spans="1:5">
      <c r="A118" s="1">
        <v>32.6</v>
      </c>
      <c r="B118" s="1">
        <v>2.7149</v>
      </c>
      <c r="C118" s="1">
        <v>509.77997</v>
      </c>
      <c r="D118" s="2">
        <f t="shared" si="3"/>
        <v>0.00863333333333336</v>
      </c>
      <c r="E118" s="2">
        <f t="shared" si="4"/>
        <v>8.49633283333333</v>
      </c>
    </row>
    <row r="119" spans="1:5">
      <c r="A119" s="1">
        <v>32.7</v>
      </c>
      <c r="B119" s="1">
        <v>2.7232</v>
      </c>
      <c r="C119" s="1">
        <v>512.2</v>
      </c>
      <c r="D119" s="2">
        <f t="shared" si="3"/>
        <v>0.00870810810810813</v>
      </c>
      <c r="E119" s="2">
        <f t="shared" si="4"/>
        <v>8.53666666666667</v>
      </c>
    </row>
    <row r="120" spans="1:5">
      <c r="A120" s="1">
        <v>32.8</v>
      </c>
      <c r="B120" s="1">
        <v>2.7316</v>
      </c>
      <c r="C120" s="1">
        <v>514.61002</v>
      </c>
      <c r="D120" s="2">
        <f t="shared" si="3"/>
        <v>0.00878378378378381</v>
      </c>
      <c r="E120" s="2">
        <f t="shared" si="4"/>
        <v>8.57683366666667</v>
      </c>
    </row>
    <row r="121" spans="1:5">
      <c r="A121" s="1">
        <v>32.9</v>
      </c>
      <c r="B121" s="1">
        <v>2.7399</v>
      </c>
      <c r="C121" s="1">
        <v>517.02999</v>
      </c>
      <c r="D121" s="2">
        <f t="shared" si="3"/>
        <v>0.00885855855855858</v>
      </c>
      <c r="E121" s="2">
        <f t="shared" si="4"/>
        <v>8.6171665</v>
      </c>
    </row>
    <row r="122" spans="1:5">
      <c r="A122" s="1">
        <v>33</v>
      </c>
      <c r="B122" s="1">
        <v>2.7483</v>
      </c>
      <c r="C122" s="1">
        <v>519.45001</v>
      </c>
      <c r="D122" s="2">
        <f t="shared" si="3"/>
        <v>0.00893423423423426</v>
      </c>
      <c r="E122" s="2">
        <f t="shared" si="4"/>
        <v>8.65750016666667</v>
      </c>
    </row>
    <row r="123" spans="1:5">
      <c r="A123" s="1">
        <v>33.1</v>
      </c>
      <c r="B123" s="1">
        <v>2.7566</v>
      </c>
      <c r="C123" s="1">
        <v>521.06</v>
      </c>
      <c r="D123" s="2">
        <f t="shared" si="3"/>
        <v>0.00900900900900903</v>
      </c>
      <c r="E123" s="2">
        <f t="shared" si="4"/>
        <v>8.68433333333333</v>
      </c>
    </row>
    <row r="124" spans="1:5">
      <c r="A124" s="1">
        <v>33.2</v>
      </c>
      <c r="B124" s="1">
        <v>2.7649</v>
      </c>
      <c r="C124" s="1">
        <v>523.47003</v>
      </c>
      <c r="D124" s="2">
        <f t="shared" si="3"/>
        <v>0.00908378378378381</v>
      </c>
      <c r="E124" s="2">
        <f t="shared" si="4"/>
        <v>8.7245005</v>
      </c>
    </row>
    <row r="125" spans="1:5">
      <c r="A125" s="1">
        <v>33.3</v>
      </c>
      <c r="B125" s="1">
        <v>2.7732</v>
      </c>
      <c r="C125" s="1">
        <v>525.88999</v>
      </c>
      <c r="D125" s="2">
        <f t="shared" si="3"/>
        <v>0.00915855855855858</v>
      </c>
      <c r="E125" s="2">
        <f t="shared" si="4"/>
        <v>8.76483316666667</v>
      </c>
    </row>
    <row r="126" spans="1:5">
      <c r="A126" s="1">
        <v>33.4</v>
      </c>
      <c r="B126" s="1">
        <v>2.7816</v>
      </c>
      <c r="C126" s="1">
        <v>528.31002</v>
      </c>
      <c r="D126" s="2">
        <f t="shared" si="3"/>
        <v>0.00923423423423426</v>
      </c>
      <c r="E126" s="2">
        <f t="shared" si="4"/>
        <v>8.805167</v>
      </c>
    </row>
    <row r="127" spans="1:5">
      <c r="A127" s="1">
        <v>33.5</v>
      </c>
      <c r="B127" s="1">
        <v>2.7899</v>
      </c>
      <c r="C127" s="1">
        <v>529.92001</v>
      </c>
      <c r="D127" s="2">
        <f t="shared" si="3"/>
        <v>0.00930900900900903</v>
      </c>
      <c r="E127" s="2">
        <f t="shared" si="4"/>
        <v>8.83200016666667</v>
      </c>
    </row>
    <row r="128" spans="1:5">
      <c r="A128" s="1">
        <v>33.6</v>
      </c>
      <c r="B128" s="1">
        <v>2.7982</v>
      </c>
      <c r="C128" s="1">
        <v>531.53001</v>
      </c>
      <c r="D128" s="2">
        <f t="shared" si="3"/>
        <v>0.00938378378378381</v>
      </c>
      <c r="E128" s="2">
        <f t="shared" si="4"/>
        <v>8.8588335</v>
      </c>
    </row>
    <row r="129" spans="1:5">
      <c r="A129" s="1">
        <v>33.7</v>
      </c>
      <c r="B129" s="1">
        <v>2.8066</v>
      </c>
      <c r="C129" s="1">
        <v>533.93997</v>
      </c>
      <c r="D129" s="2">
        <f t="shared" si="3"/>
        <v>0.00945945945945948</v>
      </c>
      <c r="E129" s="2">
        <f t="shared" si="4"/>
        <v>8.8989995</v>
      </c>
    </row>
    <row r="130" spans="1:5">
      <c r="A130" s="1">
        <v>33.8</v>
      </c>
      <c r="B130" s="1">
        <v>2.8149</v>
      </c>
      <c r="C130" s="1">
        <v>535.55002</v>
      </c>
      <c r="D130" s="2">
        <f t="shared" si="3"/>
        <v>0.00953423423423426</v>
      </c>
      <c r="E130" s="2">
        <f t="shared" si="4"/>
        <v>8.92583366666667</v>
      </c>
    </row>
    <row r="131" spans="1:5">
      <c r="A131" s="1">
        <v>33.9</v>
      </c>
      <c r="B131" s="1">
        <v>2.8232</v>
      </c>
      <c r="C131" s="1">
        <v>537.96999</v>
      </c>
      <c r="D131" s="2">
        <f t="shared" si="3"/>
        <v>0.00960900900900903</v>
      </c>
      <c r="E131" s="2">
        <f t="shared" si="4"/>
        <v>8.9661665</v>
      </c>
    </row>
    <row r="132" spans="1:5">
      <c r="A132" s="1">
        <v>34</v>
      </c>
      <c r="B132" s="1">
        <v>2.8316</v>
      </c>
      <c r="C132" s="1">
        <v>539.57999</v>
      </c>
      <c r="D132" s="2">
        <f t="shared" ref="D132:D161" si="5">((B132/$L$3))-0.0158252252252252</f>
        <v>0.00968468468468471</v>
      </c>
      <c r="E132" s="2">
        <f t="shared" si="4"/>
        <v>8.99299983333333</v>
      </c>
    </row>
    <row r="133" spans="1:5">
      <c r="A133" s="1">
        <v>34.1</v>
      </c>
      <c r="B133" s="1">
        <v>2.8399</v>
      </c>
      <c r="C133" s="1">
        <v>541.18998</v>
      </c>
      <c r="D133" s="2">
        <f t="shared" si="5"/>
        <v>0.00975945945945948</v>
      </c>
      <c r="E133" s="2">
        <f t="shared" si="4"/>
        <v>9.019833</v>
      </c>
    </row>
    <row r="134" spans="1:5">
      <c r="A134" s="1">
        <v>34.2</v>
      </c>
      <c r="B134" s="1">
        <v>2.8482</v>
      </c>
      <c r="C134" s="1">
        <v>542.79998</v>
      </c>
      <c r="D134" s="2">
        <f t="shared" si="5"/>
        <v>0.00983423423423426</v>
      </c>
      <c r="E134" s="2">
        <f t="shared" si="4"/>
        <v>9.04666633333333</v>
      </c>
    </row>
    <row r="135" spans="1:5">
      <c r="A135" s="1">
        <v>34.3</v>
      </c>
      <c r="B135" s="1">
        <v>2.8566</v>
      </c>
      <c r="C135" s="1">
        <v>544.40998</v>
      </c>
      <c r="D135" s="2">
        <f t="shared" si="5"/>
        <v>0.00990990990990993</v>
      </c>
      <c r="E135" s="2">
        <f t="shared" si="4"/>
        <v>9.07349966666667</v>
      </c>
    </row>
    <row r="136" spans="1:5">
      <c r="A136" s="1">
        <v>34.4</v>
      </c>
      <c r="B136" s="1">
        <v>2.8649</v>
      </c>
      <c r="C136" s="1">
        <v>546.02003</v>
      </c>
      <c r="D136" s="2">
        <f t="shared" si="5"/>
        <v>0.00998468468468471</v>
      </c>
      <c r="E136" s="2">
        <f t="shared" si="4"/>
        <v>9.10033383333333</v>
      </c>
    </row>
    <row r="137" spans="1:5">
      <c r="A137" s="1">
        <v>34.5</v>
      </c>
      <c r="B137" s="1">
        <v>2.8732</v>
      </c>
      <c r="C137" s="1">
        <v>547.63002</v>
      </c>
      <c r="D137" s="2">
        <f t="shared" si="5"/>
        <v>0.0100594594594595</v>
      </c>
      <c r="E137" s="2">
        <f t="shared" si="4"/>
        <v>9.127167</v>
      </c>
    </row>
    <row r="138" spans="1:5">
      <c r="A138" s="1">
        <v>34.6</v>
      </c>
      <c r="B138" s="1">
        <v>2.8816</v>
      </c>
      <c r="C138" s="1">
        <v>549.25002</v>
      </c>
      <c r="D138" s="2">
        <f t="shared" si="5"/>
        <v>0.0101351351351352</v>
      </c>
      <c r="E138" s="2">
        <f t="shared" si="4"/>
        <v>9.154167</v>
      </c>
    </row>
    <row r="139" spans="1:5">
      <c r="A139" s="1">
        <v>34.7</v>
      </c>
      <c r="B139" s="1">
        <v>2.8899</v>
      </c>
      <c r="C139" s="1">
        <v>550.04999</v>
      </c>
      <c r="D139" s="2">
        <f t="shared" si="5"/>
        <v>0.0102099099099099</v>
      </c>
      <c r="E139" s="2">
        <f t="shared" si="4"/>
        <v>9.16749983333333</v>
      </c>
    </row>
    <row r="140" spans="1:5">
      <c r="A140" s="1">
        <v>34.8</v>
      </c>
      <c r="B140" s="1">
        <v>2.8982</v>
      </c>
      <c r="C140" s="1">
        <v>551.65999</v>
      </c>
      <c r="D140" s="2">
        <f t="shared" si="5"/>
        <v>0.0102846846846847</v>
      </c>
      <c r="E140" s="2">
        <f t="shared" si="4"/>
        <v>9.19433316666667</v>
      </c>
    </row>
    <row r="141" spans="1:5">
      <c r="A141" s="1">
        <v>34.9</v>
      </c>
      <c r="B141" s="1">
        <v>2.9066</v>
      </c>
      <c r="C141" s="1">
        <v>553.26998</v>
      </c>
      <c r="D141" s="2">
        <f t="shared" si="5"/>
        <v>0.0103603603603604</v>
      </c>
      <c r="E141" s="2">
        <f t="shared" si="4"/>
        <v>9.22116633333333</v>
      </c>
    </row>
    <row r="142" spans="1:5">
      <c r="A142" s="1">
        <v>35</v>
      </c>
      <c r="B142" s="1">
        <v>2.9149</v>
      </c>
      <c r="C142" s="1">
        <v>554.08001</v>
      </c>
      <c r="D142" s="2">
        <f t="shared" si="5"/>
        <v>0.0104351351351352</v>
      </c>
      <c r="E142" s="2">
        <f t="shared" si="4"/>
        <v>9.23466683333333</v>
      </c>
    </row>
    <row r="143" spans="1:5">
      <c r="A143" s="1">
        <v>35.1</v>
      </c>
      <c r="B143" s="1">
        <v>2.9232</v>
      </c>
      <c r="C143" s="1">
        <v>554.87998</v>
      </c>
      <c r="D143" s="2">
        <f t="shared" si="5"/>
        <v>0.0105099099099099</v>
      </c>
      <c r="E143" s="2">
        <f t="shared" si="4"/>
        <v>9.24799966666667</v>
      </c>
    </row>
    <row r="144" spans="1:5">
      <c r="A144" s="1">
        <v>35.2</v>
      </c>
      <c r="B144" s="1">
        <v>2.9316</v>
      </c>
      <c r="C144" s="1">
        <v>555.69001</v>
      </c>
      <c r="D144" s="2">
        <f t="shared" si="5"/>
        <v>0.0105855855855856</v>
      </c>
      <c r="E144" s="2">
        <f t="shared" si="4"/>
        <v>9.26150016666667</v>
      </c>
    </row>
    <row r="145" spans="1:5">
      <c r="A145" s="1">
        <v>35.3</v>
      </c>
      <c r="B145" s="1">
        <v>2.9399</v>
      </c>
      <c r="C145" s="1">
        <v>556.48997</v>
      </c>
      <c r="D145" s="2">
        <f t="shared" si="5"/>
        <v>0.0106603603603604</v>
      </c>
      <c r="E145" s="2">
        <f t="shared" si="4"/>
        <v>9.27483283333333</v>
      </c>
    </row>
    <row r="146" spans="1:5">
      <c r="A146" s="1">
        <v>35.4</v>
      </c>
      <c r="B146" s="1">
        <v>2.9482</v>
      </c>
      <c r="C146" s="1">
        <v>558.10003</v>
      </c>
      <c r="D146" s="2">
        <f t="shared" si="5"/>
        <v>0.0107351351351352</v>
      </c>
      <c r="E146" s="2">
        <f t="shared" si="4"/>
        <v>9.30166716666667</v>
      </c>
    </row>
    <row r="147" spans="1:5">
      <c r="A147" s="1">
        <v>35.5</v>
      </c>
      <c r="B147" s="1">
        <v>2.9566</v>
      </c>
      <c r="C147" s="1">
        <v>558.91</v>
      </c>
      <c r="D147" s="2">
        <f t="shared" si="5"/>
        <v>0.0108108108108108</v>
      </c>
      <c r="E147" s="2">
        <f t="shared" si="4"/>
        <v>9.31516666666667</v>
      </c>
    </row>
    <row r="148" spans="1:5">
      <c r="A148" s="1">
        <v>35.6</v>
      </c>
      <c r="B148" s="1">
        <v>2.9649</v>
      </c>
      <c r="C148" s="1">
        <v>558.91</v>
      </c>
      <c r="D148" s="2">
        <f t="shared" si="5"/>
        <v>0.0108855855855856</v>
      </c>
      <c r="E148" s="2">
        <f t="shared" si="4"/>
        <v>9.31516666666667</v>
      </c>
    </row>
    <row r="149" spans="1:5">
      <c r="A149" s="1">
        <v>35.7</v>
      </c>
      <c r="B149" s="1">
        <v>2.9732</v>
      </c>
      <c r="C149" s="1">
        <v>559.71002</v>
      </c>
      <c r="D149" s="2">
        <f t="shared" si="5"/>
        <v>0.0109603603603604</v>
      </c>
      <c r="E149" s="2">
        <f t="shared" si="4"/>
        <v>9.32850033333333</v>
      </c>
    </row>
    <row r="150" spans="1:5">
      <c r="A150" s="1">
        <v>35.8</v>
      </c>
      <c r="B150" s="1">
        <v>2.9815</v>
      </c>
      <c r="C150" s="1">
        <v>559.71002</v>
      </c>
      <c r="D150" s="2">
        <f t="shared" si="5"/>
        <v>0.0110351351351352</v>
      </c>
      <c r="E150" s="2">
        <f t="shared" si="4"/>
        <v>9.32850033333333</v>
      </c>
    </row>
    <row r="151" spans="1:5">
      <c r="A151" s="1">
        <v>35.9</v>
      </c>
      <c r="B151" s="1">
        <v>2.9899</v>
      </c>
      <c r="C151" s="1">
        <v>559.71002</v>
      </c>
      <c r="D151" s="2">
        <f t="shared" si="5"/>
        <v>0.0111108108108108</v>
      </c>
      <c r="E151" s="2">
        <f t="shared" si="4"/>
        <v>9.32850033333333</v>
      </c>
    </row>
    <row r="152" spans="1:5">
      <c r="A152" s="1">
        <v>36</v>
      </c>
      <c r="B152" s="1">
        <v>2.9982</v>
      </c>
      <c r="C152" s="1">
        <v>559.71002</v>
      </c>
      <c r="D152" s="2">
        <f t="shared" si="5"/>
        <v>0.0111855855855856</v>
      </c>
      <c r="E152" s="2">
        <f t="shared" si="4"/>
        <v>9.32850033333333</v>
      </c>
    </row>
    <row r="153" spans="1:5">
      <c r="A153" s="1">
        <v>36.1</v>
      </c>
      <c r="B153" s="1">
        <v>3.0066</v>
      </c>
      <c r="C153" s="1">
        <v>559.71002</v>
      </c>
      <c r="D153" s="2">
        <f t="shared" si="5"/>
        <v>0.0112612612612613</v>
      </c>
      <c r="E153" s="2">
        <f t="shared" si="4"/>
        <v>9.32850033333333</v>
      </c>
    </row>
    <row r="154" spans="1:5">
      <c r="A154" s="1">
        <v>36.2</v>
      </c>
      <c r="B154" s="1">
        <v>3.0149</v>
      </c>
      <c r="C154" s="1">
        <v>559.71002</v>
      </c>
      <c r="D154" s="2">
        <f t="shared" si="5"/>
        <v>0.0113360360360361</v>
      </c>
      <c r="E154" s="2">
        <f t="shared" si="4"/>
        <v>9.32850033333333</v>
      </c>
    </row>
    <row r="155" spans="1:5">
      <c r="A155" s="1">
        <v>36.3</v>
      </c>
      <c r="B155" s="1">
        <v>3.0232</v>
      </c>
      <c r="C155" s="1">
        <v>558.10003</v>
      </c>
      <c r="D155" s="2">
        <f t="shared" si="5"/>
        <v>0.0114108108108108</v>
      </c>
      <c r="E155" s="2">
        <f t="shared" si="4"/>
        <v>9.30166716666667</v>
      </c>
    </row>
    <row r="156" spans="1:5">
      <c r="A156" s="1">
        <v>36.4</v>
      </c>
      <c r="B156" s="1">
        <v>3.0316</v>
      </c>
      <c r="C156" s="1">
        <v>558.10003</v>
      </c>
      <c r="D156" s="2">
        <f t="shared" si="5"/>
        <v>0.0114864864864865</v>
      </c>
      <c r="E156" s="2">
        <f t="shared" si="4"/>
        <v>9.30166716666667</v>
      </c>
    </row>
    <row r="157" spans="1:5">
      <c r="A157" s="1">
        <v>36.5</v>
      </c>
      <c r="B157" s="1">
        <v>3.0399</v>
      </c>
      <c r="C157" s="1">
        <v>555.69001</v>
      </c>
      <c r="D157" s="2">
        <f t="shared" si="5"/>
        <v>0.0115612612612613</v>
      </c>
      <c r="E157" s="2">
        <f t="shared" si="4"/>
        <v>9.26150016666667</v>
      </c>
    </row>
    <row r="158" spans="1:5">
      <c r="A158" s="1">
        <v>36.6</v>
      </c>
      <c r="B158" s="1">
        <v>3.0482</v>
      </c>
      <c r="C158" s="1">
        <v>553.26998</v>
      </c>
      <c r="D158" s="2">
        <f t="shared" si="5"/>
        <v>0.0116360360360361</v>
      </c>
      <c r="E158" s="2">
        <f t="shared" si="4"/>
        <v>9.22116633333333</v>
      </c>
    </row>
    <row r="159" spans="1:5">
      <c r="A159" s="1">
        <v>36.7</v>
      </c>
      <c r="B159" s="1">
        <v>3.0565</v>
      </c>
      <c r="C159" s="1">
        <v>549.25002</v>
      </c>
      <c r="D159" s="2">
        <f t="shared" si="5"/>
        <v>0.0117108108108108</v>
      </c>
      <c r="E159" s="2">
        <f t="shared" si="4"/>
        <v>9.154167</v>
      </c>
    </row>
    <row r="160" spans="1:5">
      <c r="D160" s="2"/>
      <c r="E160" s="2"/>
    </row>
    <row r="161" spans="4:5">
      <c r="D161" s="2"/>
      <c r="E161" s="2"/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5"/>
  <sheetViews>
    <sheetView workbookViewId="0">
      <selection activeCell="H22" sqref="H22"/>
    </sheetView>
  </sheetViews>
  <sheetFormatPr defaultColWidth="9" defaultRowHeight="14"/>
  <cols>
    <col min="1" max="3" width="8.84166666666667" style="1"/>
    <col min="4" max="4" width="10.8916666666667" customWidth="1"/>
    <col min="5" max="5" width="6.575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2" t="s">
        <v>8</v>
      </c>
      <c r="E2" s="2" t="s">
        <v>9</v>
      </c>
    </row>
    <row r="3" spans="1:13">
      <c r="A3" s="1">
        <v>3.7</v>
      </c>
      <c r="B3" s="1">
        <v>0.3061</v>
      </c>
      <c r="C3" s="1">
        <v>25.77</v>
      </c>
      <c r="D3" s="2">
        <f>((B3/$L$3))-0.00275765765765766</f>
        <v>0</v>
      </c>
      <c r="E3" s="2">
        <f t="shared" ref="E3:E29" si="0">C3/$L$4</f>
        <v>0.4295</v>
      </c>
      <c r="K3" t="s">
        <v>10</v>
      </c>
      <c r="L3">
        <v>111</v>
      </c>
      <c r="M3" t="s">
        <v>11</v>
      </c>
    </row>
    <row r="4" spans="1:13">
      <c r="A4" s="1">
        <v>3.8</v>
      </c>
      <c r="B4" s="1">
        <v>0.3144</v>
      </c>
      <c r="C4" s="1">
        <v>28.99</v>
      </c>
      <c r="D4" s="2">
        <f t="shared" ref="D4:D67" si="1">((B4/$L$3))-0.00275765765765766</f>
        <v>7.47747747747727e-5</v>
      </c>
      <c r="E4" s="2">
        <f t="shared" si="0"/>
        <v>0.483166666666667</v>
      </c>
      <c r="K4" t="s">
        <v>12</v>
      </c>
      <c r="L4">
        <f>10*6</f>
        <v>60</v>
      </c>
      <c r="M4" t="s">
        <v>13</v>
      </c>
    </row>
    <row r="5" spans="1:13">
      <c r="A5" s="1">
        <v>3.9</v>
      </c>
      <c r="B5" s="1">
        <v>0.3228</v>
      </c>
      <c r="C5" s="1">
        <v>33.82</v>
      </c>
      <c r="D5" s="2">
        <f t="shared" si="1"/>
        <v>0.000150450450450448</v>
      </c>
      <c r="E5" s="2">
        <f t="shared" si="0"/>
        <v>0.563666666666667</v>
      </c>
    </row>
    <row r="6" spans="1:13">
      <c r="A6" s="1">
        <v>4</v>
      </c>
      <c r="B6" s="1">
        <v>0.3311</v>
      </c>
      <c r="C6" s="1">
        <v>38.65</v>
      </c>
      <c r="D6" s="2">
        <f t="shared" si="1"/>
        <v>0.000225225225225223</v>
      </c>
      <c r="E6" s="2">
        <f t="shared" si="0"/>
        <v>0.644166666666667</v>
      </c>
    </row>
    <row r="7" spans="1:13">
      <c r="A7" s="1">
        <v>4.1</v>
      </c>
      <c r="B7" s="1">
        <v>0.3394</v>
      </c>
      <c r="C7" s="1">
        <v>42.68</v>
      </c>
      <c r="D7" s="2">
        <f t="shared" si="1"/>
        <v>0.000299999999999998</v>
      </c>
      <c r="E7" s="2">
        <f t="shared" si="0"/>
        <v>0.711333333333333</v>
      </c>
    </row>
    <row r="8" spans="1:13">
      <c r="A8" s="1">
        <v>4.2</v>
      </c>
      <c r="B8" s="1">
        <v>0.3477</v>
      </c>
      <c r="C8" s="1">
        <v>48.32</v>
      </c>
      <c r="D8" s="2">
        <f t="shared" si="1"/>
        <v>0.000374774774774773</v>
      </c>
      <c r="E8" s="2">
        <f t="shared" si="0"/>
        <v>0.805333333333333</v>
      </c>
    </row>
    <row r="9" spans="1:13">
      <c r="A9" s="1">
        <v>4.3</v>
      </c>
      <c r="B9" s="1">
        <v>0.3561</v>
      </c>
      <c r="C9" s="1">
        <v>52.34</v>
      </c>
      <c r="D9" s="2">
        <f t="shared" si="1"/>
        <v>0.000450450450450448</v>
      </c>
      <c r="E9" s="2">
        <f t="shared" si="0"/>
        <v>0.872333333333333</v>
      </c>
    </row>
    <row r="10" spans="1:13">
      <c r="A10" s="1">
        <v>4.4</v>
      </c>
      <c r="B10" s="1">
        <v>0.3644</v>
      </c>
      <c r="C10" s="1">
        <v>57.17</v>
      </c>
      <c r="D10" s="2">
        <f t="shared" si="1"/>
        <v>0.000525225225225223</v>
      </c>
      <c r="E10" s="2">
        <f t="shared" si="0"/>
        <v>0.952833333333333</v>
      </c>
    </row>
    <row r="11" spans="1:13">
      <c r="A11" s="1">
        <v>4.5</v>
      </c>
      <c r="B11" s="1">
        <v>0.3727</v>
      </c>
      <c r="C11" s="1">
        <v>62.01</v>
      </c>
      <c r="D11" s="2">
        <f t="shared" si="1"/>
        <v>0.000599999999999998</v>
      </c>
      <c r="E11" s="2">
        <f t="shared" si="0"/>
        <v>1.0335</v>
      </c>
    </row>
    <row r="12" spans="1:13">
      <c r="A12" s="1">
        <v>4.6</v>
      </c>
      <c r="B12" s="1">
        <v>0.3811</v>
      </c>
      <c r="C12" s="1">
        <v>66.84</v>
      </c>
      <c r="D12" s="2">
        <f t="shared" si="1"/>
        <v>0.000675675675675674</v>
      </c>
      <c r="E12" s="2">
        <f t="shared" si="0"/>
        <v>1.114</v>
      </c>
    </row>
    <row r="13" spans="1:13">
      <c r="A13" s="1">
        <v>4.7</v>
      </c>
      <c r="B13" s="1">
        <v>0.3894</v>
      </c>
      <c r="C13" s="1">
        <v>71.67</v>
      </c>
      <c r="D13" s="2">
        <f t="shared" si="1"/>
        <v>0.000750450450450448</v>
      </c>
      <c r="E13" s="2">
        <f t="shared" si="0"/>
        <v>1.1945</v>
      </c>
    </row>
    <row r="14" spans="1:13">
      <c r="A14" s="1">
        <v>4.8</v>
      </c>
      <c r="B14" s="1">
        <v>0.3978</v>
      </c>
      <c r="C14" s="1">
        <v>76.5</v>
      </c>
      <c r="D14" s="2">
        <f t="shared" si="1"/>
        <v>0.000826126126126124</v>
      </c>
      <c r="E14" s="2">
        <f t="shared" si="0"/>
        <v>1.275</v>
      </c>
    </row>
    <row r="15" spans="1:13">
      <c r="A15" s="1">
        <v>4.9</v>
      </c>
      <c r="B15" s="1">
        <v>0.4061</v>
      </c>
      <c r="C15" s="1">
        <v>81.34</v>
      </c>
      <c r="D15" s="2">
        <f t="shared" si="1"/>
        <v>0.000900900900900899</v>
      </c>
      <c r="E15" s="2">
        <f t="shared" si="0"/>
        <v>1.35566666666667</v>
      </c>
    </row>
    <row r="16" spans="1:13">
      <c r="A16" s="1">
        <v>5</v>
      </c>
      <c r="B16" s="1">
        <v>0.4144</v>
      </c>
      <c r="C16" s="1">
        <v>86.17</v>
      </c>
      <c r="D16" s="2">
        <f t="shared" si="1"/>
        <v>0.000975675675675673</v>
      </c>
      <c r="E16" s="2">
        <f t="shared" si="0"/>
        <v>1.43616666666667</v>
      </c>
    </row>
    <row r="17" spans="1:13">
      <c r="A17" s="1">
        <v>5.1</v>
      </c>
      <c r="B17" s="1">
        <v>0.4227</v>
      </c>
      <c r="C17" s="1">
        <v>91</v>
      </c>
      <c r="D17" s="2">
        <f t="shared" si="1"/>
        <v>0.00105045045045045</v>
      </c>
      <c r="E17" s="2">
        <f t="shared" si="0"/>
        <v>1.51666666666667</v>
      </c>
    </row>
    <row r="18" spans="1:13">
      <c r="A18" s="1">
        <v>5.2</v>
      </c>
      <c r="B18" s="1">
        <v>0.4311</v>
      </c>
      <c r="C18" s="1">
        <v>95.03</v>
      </c>
      <c r="D18" s="2">
        <f t="shared" si="1"/>
        <v>0.00112612612612612</v>
      </c>
      <c r="E18" s="2">
        <f t="shared" si="0"/>
        <v>1.58383333333333</v>
      </c>
    </row>
    <row r="19" spans="1:13">
      <c r="A19" s="1">
        <v>5.3</v>
      </c>
      <c r="B19" s="1">
        <v>0.4394</v>
      </c>
      <c r="C19" s="1">
        <v>100.66</v>
      </c>
      <c r="D19" s="2">
        <f t="shared" si="1"/>
        <v>0.0012009009009009</v>
      </c>
      <c r="E19" s="2">
        <f t="shared" si="0"/>
        <v>1.67766666666667</v>
      </c>
    </row>
    <row r="20" spans="1:13">
      <c r="A20" s="1">
        <v>5.4</v>
      </c>
      <c r="B20" s="1">
        <v>0.4477</v>
      </c>
      <c r="C20" s="1">
        <v>105.5</v>
      </c>
      <c r="D20" s="2">
        <f t="shared" si="1"/>
        <v>0.00127567567567567</v>
      </c>
      <c r="E20" s="2">
        <f t="shared" si="0"/>
        <v>1.75833333333333</v>
      </c>
    </row>
    <row r="21" spans="1:13">
      <c r="A21" s="1">
        <v>5.5</v>
      </c>
      <c r="B21" s="1">
        <v>0.4561</v>
      </c>
      <c r="C21" s="1">
        <v>110.33</v>
      </c>
      <c r="D21" s="2">
        <f t="shared" si="1"/>
        <v>0.00135135135135135</v>
      </c>
      <c r="E21" s="2">
        <f t="shared" si="0"/>
        <v>1.83883333333333</v>
      </c>
    </row>
    <row r="22" spans="1:13">
      <c r="A22" s="1">
        <v>5.6</v>
      </c>
      <c r="B22" s="1">
        <v>0.4644</v>
      </c>
      <c r="C22" s="1">
        <v>115.16</v>
      </c>
      <c r="D22" s="2">
        <f t="shared" si="1"/>
        <v>0.00142612612612612</v>
      </c>
      <c r="E22" s="2">
        <f t="shared" si="0"/>
        <v>1.91933333333333</v>
      </c>
    </row>
    <row r="23" spans="1:13">
      <c r="A23" s="1">
        <v>5.7</v>
      </c>
      <c r="B23" s="1">
        <v>0.4728</v>
      </c>
      <c r="C23" s="1">
        <v>119.99</v>
      </c>
      <c r="D23" s="2">
        <f t="shared" si="1"/>
        <v>0.0015018018018018</v>
      </c>
      <c r="E23" s="2">
        <f t="shared" si="0"/>
        <v>1.99983333333333</v>
      </c>
    </row>
    <row r="24" spans="1:13">
      <c r="A24" s="1">
        <v>5.8</v>
      </c>
      <c r="B24" s="1">
        <v>0.4811</v>
      </c>
      <c r="C24" s="1">
        <v>124.82001</v>
      </c>
      <c r="D24" s="2">
        <f t="shared" si="1"/>
        <v>0.00157657657657657</v>
      </c>
      <c r="E24" s="2">
        <f t="shared" si="0"/>
        <v>2.0803335</v>
      </c>
    </row>
    <row r="25" spans="1:13">
      <c r="A25" s="1">
        <v>5.9</v>
      </c>
      <c r="B25" s="1">
        <v>0.4894</v>
      </c>
      <c r="C25" s="1">
        <v>129.66</v>
      </c>
      <c r="D25" s="2">
        <f t="shared" si="1"/>
        <v>0.00165135135135135</v>
      </c>
      <c r="E25" s="2">
        <f t="shared" si="0"/>
        <v>2.161</v>
      </c>
    </row>
    <row r="26" spans="1:13">
      <c r="A26" s="1">
        <v>6</v>
      </c>
      <c r="B26" s="1">
        <v>0.4977</v>
      </c>
      <c r="C26" s="1">
        <v>134.49</v>
      </c>
      <c r="D26" s="2">
        <f t="shared" si="1"/>
        <v>0.00172612612612612</v>
      </c>
      <c r="E26" s="2">
        <f t="shared" si="0"/>
        <v>2.2415</v>
      </c>
      <c r="J26" s="3" t="s">
        <v>14</v>
      </c>
      <c r="K26" s="3"/>
      <c r="L26" s="4">
        <f>MAX(E:E)</f>
        <v>9.19433316666667</v>
      </c>
      <c r="M26" s="3" t="s">
        <v>15</v>
      </c>
    </row>
    <row r="27" spans="1:13">
      <c r="A27" s="1">
        <v>6.1</v>
      </c>
      <c r="B27" s="1">
        <v>0.5061</v>
      </c>
      <c r="C27" s="1">
        <v>139.32</v>
      </c>
      <c r="D27" s="2">
        <f t="shared" si="1"/>
        <v>0.0018018018018018</v>
      </c>
      <c r="E27" s="2">
        <f t="shared" si="0"/>
        <v>2.322</v>
      </c>
      <c r="J27" s="3" t="s">
        <v>16</v>
      </c>
      <c r="K27" s="3"/>
      <c r="L27" s="3">
        <v>0.00968378378378378</v>
      </c>
      <c r="M27" s="3" t="s">
        <v>17</v>
      </c>
    </row>
    <row r="28" spans="1:13">
      <c r="A28" s="1">
        <v>6.2</v>
      </c>
      <c r="B28" s="1">
        <v>0.5144</v>
      </c>
      <c r="C28" s="1">
        <v>144.15</v>
      </c>
      <c r="D28" s="2">
        <f t="shared" si="1"/>
        <v>0.00187657657657657</v>
      </c>
      <c r="E28" s="2">
        <f t="shared" si="0"/>
        <v>2.4025</v>
      </c>
    </row>
    <row r="29" spans="1:13">
      <c r="A29" s="1">
        <v>6.3</v>
      </c>
      <c r="B29" s="1">
        <v>0.5227</v>
      </c>
      <c r="C29" s="1">
        <v>148.99001</v>
      </c>
      <c r="D29" s="2">
        <f t="shared" si="1"/>
        <v>0.00195135135135135</v>
      </c>
      <c r="E29" s="2">
        <f t="shared" si="0"/>
        <v>2.48316683333333</v>
      </c>
    </row>
    <row r="30" spans="1:13">
      <c r="A30" s="1">
        <v>6.4</v>
      </c>
      <c r="B30" s="1">
        <v>0.5311</v>
      </c>
      <c r="C30" s="1">
        <v>153.81999</v>
      </c>
      <c r="D30" s="2">
        <f t="shared" si="1"/>
        <v>0.00202702702702702</v>
      </c>
      <c r="E30" s="2">
        <f t="shared" ref="E30:E93" si="2">C30/$L$4</f>
        <v>2.5636665</v>
      </c>
    </row>
    <row r="31" spans="1:13">
      <c r="A31" s="1">
        <v>6.5</v>
      </c>
      <c r="B31" s="1">
        <v>0.5394</v>
      </c>
      <c r="C31" s="1">
        <v>158.64999</v>
      </c>
      <c r="D31" s="2">
        <f t="shared" si="1"/>
        <v>0.0021018018018018</v>
      </c>
      <c r="E31" s="2">
        <f t="shared" si="2"/>
        <v>2.6441665</v>
      </c>
    </row>
    <row r="32" spans="1:13">
      <c r="A32" s="1">
        <v>6.6</v>
      </c>
      <c r="B32" s="1">
        <v>0.5478</v>
      </c>
      <c r="C32" s="1">
        <v>163.48</v>
      </c>
      <c r="D32" s="2">
        <f t="shared" si="1"/>
        <v>0.00217747747747748</v>
      </c>
      <c r="E32" s="2">
        <f t="shared" si="2"/>
        <v>2.72466666666667</v>
      </c>
    </row>
    <row r="33" spans="1:5">
      <c r="A33" s="1">
        <v>6.7</v>
      </c>
      <c r="B33" s="1">
        <v>0.5561</v>
      </c>
      <c r="C33" s="1">
        <v>168.31</v>
      </c>
      <c r="D33" s="2">
        <f t="shared" si="1"/>
        <v>0.00225225225225225</v>
      </c>
      <c r="E33" s="2">
        <f t="shared" si="2"/>
        <v>2.80516666666667</v>
      </c>
    </row>
    <row r="34" spans="1:5">
      <c r="A34" s="1">
        <v>6.8</v>
      </c>
      <c r="B34" s="1">
        <v>0.5644</v>
      </c>
      <c r="C34" s="1">
        <v>173.15</v>
      </c>
      <c r="D34" s="2">
        <f t="shared" si="1"/>
        <v>0.00232702702702702</v>
      </c>
      <c r="E34" s="2">
        <f t="shared" si="2"/>
        <v>2.88583333333333</v>
      </c>
    </row>
    <row r="35" spans="1:5">
      <c r="A35" s="1">
        <v>6.9</v>
      </c>
      <c r="B35" s="1">
        <v>0.5727</v>
      </c>
      <c r="C35" s="1">
        <v>178.78</v>
      </c>
      <c r="D35" s="2">
        <f t="shared" si="1"/>
        <v>0.0024018018018018</v>
      </c>
      <c r="E35" s="2">
        <f t="shared" si="2"/>
        <v>2.97966666666667</v>
      </c>
    </row>
    <row r="36" spans="1:5">
      <c r="A36" s="1">
        <v>7</v>
      </c>
      <c r="B36" s="1">
        <v>0.5811</v>
      </c>
      <c r="C36" s="1">
        <v>183.62001</v>
      </c>
      <c r="D36" s="2">
        <f t="shared" si="1"/>
        <v>0.00247747747747748</v>
      </c>
      <c r="E36" s="2">
        <f t="shared" si="2"/>
        <v>3.0603335</v>
      </c>
    </row>
    <row r="37" spans="1:5">
      <c r="A37" s="1">
        <v>7.1</v>
      </c>
      <c r="B37" s="1">
        <v>0.5894</v>
      </c>
      <c r="C37" s="1">
        <v>189.25</v>
      </c>
      <c r="D37" s="2">
        <f t="shared" si="1"/>
        <v>0.00255225225225225</v>
      </c>
      <c r="E37" s="2">
        <f t="shared" si="2"/>
        <v>3.15416666666667</v>
      </c>
    </row>
    <row r="38" spans="1:5">
      <c r="A38" s="1">
        <v>7.2</v>
      </c>
      <c r="B38" s="1">
        <v>0.5977</v>
      </c>
      <c r="C38" s="1">
        <v>194.08001</v>
      </c>
      <c r="D38" s="2">
        <f t="shared" si="1"/>
        <v>0.00262702702702702</v>
      </c>
      <c r="E38" s="2">
        <f t="shared" si="2"/>
        <v>3.23466683333333</v>
      </c>
    </row>
    <row r="39" spans="1:5">
      <c r="A39" s="1">
        <v>7.3</v>
      </c>
      <c r="B39" s="1">
        <v>0.6061</v>
      </c>
      <c r="C39" s="1">
        <v>198.92</v>
      </c>
      <c r="D39" s="2">
        <f t="shared" si="1"/>
        <v>0.0027027027027027</v>
      </c>
      <c r="E39" s="2">
        <f t="shared" si="2"/>
        <v>3.31533333333333</v>
      </c>
    </row>
    <row r="40" spans="1:5">
      <c r="A40" s="1">
        <v>7.4</v>
      </c>
      <c r="B40" s="1">
        <v>0.6144</v>
      </c>
      <c r="C40" s="1">
        <v>203.75</v>
      </c>
      <c r="D40" s="2">
        <f t="shared" si="1"/>
        <v>0.00277747747747748</v>
      </c>
      <c r="E40" s="2">
        <f t="shared" si="2"/>
        <v>3.39583333333333</v>
      </c>
    </row>
    <row r="41" spans="1:5">
      <c r="A41" s="1">
        <v>7.5</v>
      </c>
      <c r="B41" s="1">
        <v>0.6228</v>
      </c>
      <c r="C41" s="1">
        <v>208.58</v>
      </c>
      <c r="D41" s="2">
        <f t="shared" si="1"/>
        <v>0.00285315315315315</v>
      </c>
      <c r="E41" s="2">
        <f t="shared" si="2"/>
        <v>3.47633333333333</v>
      </c>
    </row>
    <row r="42" spans="1:5">
      <c r="A42" s="1">
        <v>7.6</v>
      </c>
      <c r="B42" s="1">
        <v>0.6311</v>
      </c>
      <c r="C42" s="1">
        <v>214.22</v>
      </c>
      <c r="D42" s="2">
        <f t="shared" si="1"/>
        <v>0.00292792792792793</v>
      </c>
      <c r="E42" s="2">
        <f t="shared" si="2"/>
        <v>3.57033333333333</v>
      </c>
    </row>
    <row r="43" spans="1:5">
      <c r="A43" s="1">
        <v>7.7</v>
      </c>
      <c r="B43" s="1">
        <v>0.6394</v>
      </c>
      <c r="C43" s="1">
        <v>219.05</v>
      </c>
      <c r="D43" s="2">
        <f t="shared" si="1"/>
        <v>0.0030027027027027</v>
      </c>
      <c r="E43" s="2">
        <f t="shared" si="2"/>
        <v>3.65083333333333</v>
      </c>
    </row>
    <row r="44" spans="1:5">
      <c r="A44" s="1">
        <v>7.8</v>
      </c>
      <c r="B44" s="1">
        <v>0.6477</v>
      </c>
      <c r="C44" s="1">
        <v>224.69</v>
      </c>
      <c r="D44" s="2">
        <f t="shared" si="1"/>
        <v>0.00307747747747748</v>
      </c>
      <c r="E44" s="2">
        <f t="shared" si="2"/>
        <v>3.74483333333333</v>
      </c>
    </row>
    <row r="45" spans="1:5">
      <c r="A45" s="1">
        <v>7.9</v>
      </c>
      <c r="B45" s="1">
        <v>0.6561</v>
      </c>
      <c r="C45" s="1">
        <v>229.52001</v>
      </c>
      <c r="D45" s="2">
        <f t="shared" si="1"/>
        <v>0.00315315315315315</v>
      </c>
      <c r="E45" s="2">
        <f t="shared" si="2"/>
        <v>3.8253335</v>
      </c>
    </row>
    <row r="46" spans="1:5">
      <c r="A46" s="1">
        <v>8</v>
      </c>
      <c r="B46" s="1">
        <v>0.6644</v>
      </c>
      <c r="C46" s="1">
        <v>235.15999</v>
      </c>
      <c r="D46" s="2">
        <f t="shared" si="1"/>
        <v>0.00322792792792793</v>
      </c>
      <c r="E46" s="2">
        <f t="shared" si="2"/>
        <v>3.91933316666667</v>
      </c>
    </row>
    <row r="47" spans="1:5">
      <c r="A47" s="1">
        <v>8.1</v>
      </c>
      <c r="B47" s="1">
        <v>0.6727</v>
      </c>
      <c r="C47" s="1">
        <v>240.80001</v>
      </c>
      <c r="D47" s="2">
        <f t="shared" si="1"/>
        <v>0.0033027027027027</v>
      </c>
      <c r="E47" s="2">
        <f t="shared" si="2"/>
        <v>4.0133335</v>
      </c>
    </row>
    <row r="48" spans="1:5">
      <c r="A48" s="1">
        <v>8.2</v>
      </c>
      <c r="B48" s="1">
        <v>0.6811</v>
      </c>
      <c r="C48" s="1">
        <v>244.82</v>
      </c>
      <c r="D48" s="2">
        <f t="shared" si="1"/>
        <v>0.00337837837837838</v>
      </c>
      <c r="E48" s="2">
        <f t="shared" si="2"/>
        <v>4.08033333333333</v>
      </c>
    </row>
    <row r="49" spans="1:5">
      <c r="A49" s="1">
        <v>8.3</v>
      </c>
      <c r="B49" s="1">
        <v>0.6894</v>
      </c>
      <c r="C49" s="1">
        <v>250.46001</v>
      </c>
      <c r="D49" s="2">
        <f t="shared" si="1"/>
        <v>0.00345315315315315</v>
      </c>
      <c r="E49" s="2">
        <f t="shared" si="2"/>
        <v>4.1743335</v>
      </c>
    </row>
    <row r="50" spans="1:5">
      <c r="A50" s="1">
        <v>8.4</v>
      </c>
      <c r="B50" s="1">
        <v>0.6978</v>
      </c>
      <c r="C50" s="1">
        <v>255.29</v>
      </c>
      <c r="D50" s="2">
        <f t="shared" si="1"/>
        <v>0.00352882882882883</v>
      </c>
      <c r="E50" s="2">
        <f t="shared" si="2"/>
        <v>4.25483333333333</v>
      </c>
    </row>
    <row r="51" spans="1:5">
      <c r="A51" s="1">
        <v>8.5</v>
      </c>
      <c r="B51" s="1">
        <v>0.7061</v>
      </c>
      <c r="C51" s="1">
        <v>260.92999</v>
      </c>
      <c r="D51" s="2">
        <f t="shared" si="1"/>
        <v>0.0036036036036036</v>
      </c>
      <c r="E51" s="2">
        <f t="shared" si="2"/>
        <v>4.34883316666667</v>
      </c>
    </row>
    <row r="52" spans="1:5">
      <c r="A52" s="1">
        <v>8.6</v>
      </c>
      <c r="B52" s="1">
        <v>0.7144</v>
      </c>
      <c r="C52" s="1">
        <v>265.76</v>
      </c>
      <c r="D52" s="2">
        <f t="shared" si="1"/>
        <v>0.00367837837837838</v>
      </c>
      <c r="E52" s="2">
        <f t="shared" si="2"/>
        <v>4.42933333333333</v>
      </c>
    </row>
    <row r="53" spans="1:5">
      <c r="A53" s="1">
        <v>8.7</v>
      </c>
      <c r="B53" s="1">
        <v>0.7227</v>
      </c>
      <c r="C53" s="1">
        <v>270.58999</v>
      </c>
      <c r="D53" s="2">
        <f t="shared" si="1"/>
        <v>0.00375315315315315</v>
      </c>
      <c r="E53" s="2">
        <f t="shared" si="2"/>
        <v>4.50983316666667</v>
      </c>
    </row>
    <row r="54" spans="1:5">
      <c r="A54" s="1">
        <v>8.8</v>
      </c>
      <c r="B54" s="1">
        <v>0.7311</v>
      </c>
      <c r="C54" s="1">
        <v>276.23001</v>
      </c>
      <c r="D54" s="2">
        <f t="shared" si="1"/>
        <v>0.00382882882882883</v>
      </c>
      <c r="E54" s="2">
        <f t="shared" si="2"/>
        <v>4.6038335</v>
      </c>
    </row>
    <row r="55" spans="1:5">
      <c r="A55" s="1">
        <v>8.9</v>
      </c>
      <c r="B55" s="1">
        <v>0.7394</v>
      </c>
      <c r="C55" s="1">
        <v>281.05999</v>
      </c>
      <c r="D55" s="2">
        <f t="shared" si="1"/>
        <v>0.0039036036036036</v>
      </c>
      <c r="E55" s="2">
        <f t="shared" si="2"/>
        <v>4.68433316666667</v>
      </c>
    </row>
    <row r="56" spans="1:5">
      <c r="A56" s="1">
        <v>9</v>
      </c>
      <c r="B56" s="1">
        <v>0.7477</v>
      </c>
      <c r="C56" s="1">
        <v>285.89001</v>
      </c>
      <c r="D56" s="2">
        <f t="shared" si="1"/>
        <v>0.00397837837837838</v>
      </c>
      <c r="E56" s="2">
        <f t="shared" si="2"/>
        <v>4.7648335</v>
      </c>
    </row>
    <row r="57" spans="1:5">
      <c r="A57" s="1">
        <v>9.1</v>
      </c>
      <c r="B57" s="1">
        <v>0.7561</v>
      </c>
      <c r="C57" s="1">
        <v>290.73</v>
      </c>
      <c r="D57" s="2">
        <f t="shared" si="1"/>
        <v>0.00405405405405405</v>
      </c>
      <c r="E57" s="2">
        <f t="shared" si="2"/>
        <v>4.8455</v>
      </c>
    </row>
    <row r="58" spans="1:5">
      <c r="A58" s="1">
        <v>9.2</v>
      </c>
      <c r="B58" s="1">
        <v>0.7644</v>
      </c>
      <c r="C58" s="1">
        <v>296.36001</v>
      </c>
      <c r="D58" s="2">
        <f t="shared" si="1"/>
        <v>0.00412882882882883</v>
      </c>
      <c r="E58" s="2">
        <f t="shared" si="2"/>
        <v>4.9393335</v>
      </c>
    </row>
    <row r="59" spans="1:5">
      <c r="A59" s="1">
        <v>9.3</v>
      </c>
      <c r="B59" s="1">
        <v>0.7728</v>
      </c>
      <c r="C59" s="1">
        <v>300.39</v>
      </c>
      <c r="D59" s="2">
        <f t="shared" si="1"/>
        <v>0.0042045045045045</v>
      </c>
      <c r="E59" s="2">
        <f t="shared" si="2"/>
        <v>5.0065</v>
      </c>
    </row>
    <row r="60" spans="1:5">
      <c r="A60" s="1">
        <v>9.4</v>
      </c>
      <c r="B60" s="1">
        <v>0.7811</v>
      </c>
      <c r="C60" s="1">
        <v>305.21999</v>
      </c>
      <c r="D60" s="2">
        <f t="shared" si="1"/>
        <v>0.00427927927927928</v>
      </c>
      <c r="E60" s="2">
        <f t="shared" si="2"/>
        <v>5.08699983333333</v>
      </c>
    </row>
    <row r="61" spans="1:5">
      <c r="A61" s="1">
        <v>9.5</v>
      </c>
      <c r="B61" s="1">
        <v>0.7894</v>
      </c>
      <c r="C61" s="1">
        <v>310.86001</v>
      </c>
      <c r="D61" s="2">
        <f t="shared" si="1"/>
        <v>0.00435405405405405</v>
      </c>
      <c r="E61" s="2">
        <f t="shared" si="2"/>
        <v>5.18100016666667</v>
      </c>
    </row>
    <row r="62" spans="1:5">
      <c r="A62" s="1">
        <v>9.6</v>
      </c>
      <c r="B62" s="1">
        <v>0.7978</v>
      </c>
      <c r="C62" s="1">
        <v>315.68999</v>
      </c>
      <c r="D62" s="2">
        <f t="shared" si="1"/>
        <v>0.00442972972972973</v>
      </c>
      <c r="E62" s="2">
        <f t="shared" si="2"/>
        <v>5.26149983333333</v>
      </c>
    </row>
    <row r="63" spans="1:5">
      <c r="A63" s="1">
        <v>9.7</v>
      </c>
      <c r="B63" s="1">
        <v>0.8061</v>
      </c>
      <c r="C63" s="1">
        <v>320.53001</v>
      </c>
      <c r="D63" s="2">
        <f t="shared" si="1"/>
        <v>0.0045045045045045</v>
      </c>
      <c r="E63" s="2">
        <f t="shared" si="2"/>
        <v>5.34216683333333</v>
      </c>
    </row>
    <row r="64" spans="1:5">
      <c r="A64" s="1">
        <v>9.8</v>
      </c>
      <c r="B64" s="1">
        <v>0.8144</v>
      </c>
      <c r="C64" s="1">
        <v>325.36</v>
      </c>
      <c r="D64" s="2">
        <f t="shared" si="1"/>
        <v>0.00457927927927928</v>
      </c>
      <c r="E64" s="2">
        <f t="shared" si="2"/>
        <v>5.42266666666667</v>
      </c>
    </row>
    <row r="65" spans="1:5">
      <c r="A65" s="1">
        <v>9.9</v>
      </c>
      <c r="B65" s="1">
        <v>0.8227</v>
      </c>
      <c r="C65" s="1">
        <v>330.18999</v>
      </c>
      <c r="D65" s="2">
        <f t="shared" si="1"/>
        <v>0.00465405405405405</v>
      </c>
      <c r="E65" s="2">
        <f t="shared" si="2"/>
        <v>5.5031665</v>
      </c>
    </row>
    <row r="66" spans="1:5">
      <c r="A66" s="1">
        <v>10</v>
      </c>
      <c r="B66" s="1">
        <v>0.8311</v>
      </c>
      <c r="C66" s="1">
        <v>335.02</v>
      </c>
      <c r="D66" s="2">
        <f t="shared" si="1"/>
        <v>0.00472972972972973</v>
      </c>
      <c r="E66" s="2">
        <f t="shared" si="2"/>
        <v>5.58366666666667</v>
      </c>
    </row>
    <row r="67" spans="1:5">
      <c r="A67" s="1">
        <v>10.1</v>
      </c>
      <c r="B67" s="1">
        <v>0.8394</v>
      </c>
      <c r="C67" s="1">
        <v>339.84999</v>
      </c>
      <c r="D67" s="2">
        <f t="shared" si="1"/>
        <v>0.0048045045045045</v>
      </c>
      <c r="E67" s="2">
        <f t="shared" si="2"/>
        <v>5.6641665</v>
      </c>
    </row>
    <row r="68" spans="1:5">
      <c r="A68" s="1">
        <v>10.2</v>
      </c>
      <c r="B68" s="1">
        <v>0.8477</v>
      </c>
      <c r="C68" s="1">
        <v>344.69001</v>
      </c>
      <c r="D68" s="2">
        <f t="shared" ref="D68:D131" si="3">((B68/$L$3))-0.00275765765765766</f>
        <v>0.00487927927927928</v>
      </c>
      <c r="E68" s="2">
        <f t="shared" si="2"/>
        <v>5.7448335</v>
      </c>
    </row>
    <row r="69" spans="1:5">
      <c r="A69" s="1">
        <v>10.3</v>
      </c>
      <c r="B69" s="1">
        <v>0.8561</v>
      </c>
      <c r="C69" s="1">
        <v>349.52</v>
      </c>
      <c r="D69" s="2">
        <f t="shared" si="3"/>
        <v>0.00495495495495495</v>
      </c>
      <c r="E69" s="2">
        <f t="shared" si="2"/>
        <v>5.82533333333333</v>
      </c>
    </row>
    <row r="70" spans="1:5">
      <c r="A70" s="1">
        <v>10.4</v>
      </c>
      <c r="B70" s="1">
        <v>0.8644</v>
      </c>
      <c r="C70" s="1">
        <v>354.35001</v>
      </c>
      <c r="D70" s="2">
        <f t="shared" si="3"/>
        <v>0.00502972972972973</v>
      </c>
      <c r="E70" s="2">
        <f t="shared" si="2"/>
        <v>5.9058335</v>
      </c>
    </row>
    <row r="71" spans="1:5">
      <c r="A71" s="1">
        <v>10.5</v>
      </c>
      <c r="B71" s="1">
        <v>0.8728</v>
      </c>
      <c r="C71" s="1">
        <v>358.38</v>
      </c>
      <c r="D71" s="2">
        <f t="shared" si="3"/>
        <v>0.0051054054054054</v>
      </c>
      <c r="E71" s="2">
        <f t="shared" si="2"/>
        <v>5.973</v>
      </c>
    </row>
    <row r="72" spans="1:5">
      <c r="A72" s="1">
        <v>10.6</v>
      </c>
      <c r="B72" s="1">
        <v>0.8811</v>
      </c>
      <c r="C72" s="1">
        <v>363.20999</v>
      </c>
      <c r="D72" s="2">
        <f t="shared" si="3"/>
        <v>0.00518018018018018</v>
      </c>
      <c r="E72" s="2">
        <f t="shared" si="2"/>
        <v>6.05349983333333</v>
      </c>
    </row>
    <row r="73" spans="1:5">
      <c r="A73" s="1">
        <v>10.7</v>
      </c>
      <c r="B73" s="1">
        <v>0.8894</v>
      </c>
      <c r="C73" s="1">
        <v>368.04001</v>
      </c>
      <c r="D73" s="2">
        <f t="shared" si="3"/>
        <v>0.00525495495495495</v>
      </c>
      <c r="E73" s="2">
        <f t="shared" si="2"/>
        <v>6.13400016666667</v>
      </c>
    </row>
    <row r="74" spans="1:5">
      <c r="A74" s="1">
        <v>10.8</v>
      </c>
      <c r="B74" s="1">
        <v>0.8977</v>
      </c>
      <c r="C74" s="1">
        <v>372.07</v>
      </c>
      <c r="D74" s="2">
        <f t="shared" si="3"/>
        <v>0.00532972972972973</v>
      </c>
      <c r="E74" s="2">
        <f t="shared" si="2"/>
        <v>6.20116666666667</v>
      </c>
    </row>
    <row r="75" spans="1:5">
      <c r="A75" s="1">
        <v>10.9</v>
      </c>
      <c r="B75" s="1">
        <v>0.9061</v>
      </c>
      <c r="C75" s="1">
        <v>376.89999</v>
      </c>
      <c r="D75" s="2">
        <f t="shared" si="3"/>
        <v>0.0054054054054054</v>
      </c>
      <c r="E75" s="2">
        <f t="shared" si="2"/>
        <v>6.2816665</v>
      </c>
    </row>
    <row r="76" spans="1:5">
      <c r="A76" s="1">
        <v>11</v>
      </c>
      <c r="B76" s="1">
        <v>0.9144</v>
      </c>
      <c r="C76" s="1">
        <v>380.93001</v>
      </c>
      <c r="D76" s="2">
        <f t="shared" si="3"/>
        <v>0.00548018018018018</v>
      </c>
      <c r="E76" s="2">
        <f t="shared" si="2"/>
        <v>6.3488335</v>
      </c>
    </row>
    <row r="77" spans="1:5">
      <c r="A77" s="1">
        <v>11.1</v>
      </c>
      <c r="B77" s="1">
        <v>0.9227</v>
      </c>
      <c r="C77" s="1">
        <v>385.75999</v>
      </c>
      <c r="D77" s="2">
        <f t="shared" si="3"/>
        <v>0.00555495495495495</v>
      </c>
      <c r="E77" s="2">
        <f t="shared" si="2"/>
        <v>6.42933316666667</v>
      </c>
    </row>
    <row r="78" spans="1:5">
      <c r="A78" s="1">
        <v>11.2</v>
      </c>
      <c r="B78" s="1">
        <v>0.9311</v>
      </c>
      <c r="C78" s="1">
        <v>389.79001</v>
      </c>
      <c r="D78" s="2">
        <f t="shared" si="3"/>
        <v>0.00563063063063063</v>
      </c>
      <c r="E78" s="2">
        <f t="shared" si="2"/>
        <v>6.49650016666667</v>
      </c>
    </row>
    <row r="79" spans="1:5">
      <c r="A79" s="1">
        <v>11.3</v>
      </c>
      <c r="B79" s="1">
        <v>0.9394</v>
      </c>
      <c r="C79" s="1">
        <v>394.62</v>
      </c>
      <c r="D79" s="2">
        <f t="shared" si="3"/>
        <v>0.0057054054054054</v>
      </c>
      <c r="E79" s="2">
        <f t="shared" si="2"/>
        <v>6.577</v>
      </c>
    </row>
    <row r="80" spans="1:5">
      <c r="A80" s="1">
        <v>11.4</v>
      </c>
      <c r="B80" s="1">
        <v>0.9478</v>
      </c>
      <c r="C80" s="1">
        <v>398.63999</v>
      </c>
      <c r="D80" s="2">
        <f t="shared" si="3"/>
        <v>0.00578108108108108</v>
      </c>
      <c r="E80" s="2">
        <f t="shared" si="2"/>
        <v>6.64399983333333</v>
      </c>
    </row>
    <row r="81" spans="1:5">
      <c r="A81" s="1">
        <v>11.5</v>
      </c>
      <c r="B81" s="1">
        <v>0.9561</v>
      </c>
      <c r="C81" s="1">
        <v>403.48001</v>
      </c>
      <c r="D81" s="2">
        <f t="shared" si="3"/>
        <v>0.00585585585585585</v>
      </c>
      <c r="E81" s="2">
        <f t="shared" si="2"/>
        <v>6.72466683333333</v>
      </c>
    </row>
    <row r="82" spans="1:5">
      <c r="A82" s="1">
        <v>11.6</v>
      </c>
      <c r="B82" s="1">
        <v>0.9644</v>
      </c>
      <c r="C82" s="1">
        <v>407.5</v>
      </c>
      <c r="D82" s="2">
        <f t="shared" si="3"/>
        <v>0.00593063063063063</v>
      </c>
      <c r="E82" s="2">
        <f t="shared" si="2"/>
        <v>6.79166666666667</v>
      </c>
    </row>
    <row r="83" spans="1:5">
      <c r="A83" s="1">
        <v>11.7</v>
      </c>
      <c r="B83" s="1">
        <v>0.9727</v>
      </c>
      <c r="C83" s="1">
        <v>411.52999</v>
      </c>
      <c r="D83" s="2">
        <f t="shared" si="3"/>
        <v>0.0060054054054054</v>
      </c>
      <c r="E83" s="2">
        <f t="shared" si="2"/>
        <v>6.85883316666667</v>
      </c>
    </row>
    <row r="84" spans="1:5">
      <c r="A84" s="1">
        <v>11.8</v>
      </c>
      <c r="B84" s="1">
        <v>0.9811</v>
      </c>
      <c r="C84" s="1">
        <v>416.36</v>
      </c>
      <c r="D84" s="2">
        <f t="shared" si="3"/>
        <v>0.00608108108108108</v>
      </c>
      <c r="E84" s="2">
        <f t="shared" si="2"/>
        <v>6.93933333333333</v>
      </c>
    </row>
    <row r="85" spans="1:5">
      <c r="A85" s="1">
        <v>11.9</v>
      </c>
      <c r="B85" s="1">
        <v>0.9894</v>
      </c>
      <c r="C85" s="1">
        <v>421.18999</v>
      </c>
      <c r="D85" s="2">
        <f t="shared" si="3"/>
        <v>0.00615585585585585</v>
      </c>
      <c r="E85" s="2">
        <f t="shared" si="2"/>
        <v>7.01983316666667</v>
      </c>
    </row>
    <row r="86" spans="1:5">
      <c r="A86" s="1">
        <v>12</v>
      </c>
      <c r="B86" s="1">
        <v>0.9977</v>
      </c>
      <c r="C86" s="1">
        <v>424.41999</v>
      </c>
      <c r="D86" s="2">
        <f t="shared" si="3"/>
        <v>0.00623063063063063</v>
      </c>
      <c r="E86" s="2">
        <f t="shared" si="2"/>
        <v>7.0736665</v>
      </c>
    </row>
    <row r="87" spans="1:5">
      <c r="A87" s="1">
        <v>12.1</v>
      </c>
      <c r="B87" s="1">
        <v>1.006</v>
      </c>
      <c r="C87" s="1">
        <v>428.44</v>
      </c>
      <c r="D87" s="2">
        <f t="shared" si="3"/>
        <v>0.0063054054054054</v>
      </c>
      <c r="E87" s="2">
        <f t="shared" si="2"/>
        <v>7.14066666666667</v>
      </c>
    </row>
    <row r="88" spans="1:5">
      <c r="A88" s="1">
        <v>12.2</v>
      </c>
      <c r="B88" s="1">
        <v>1.0144</v>
      </c>
      <c r="C88" s="1">
        <v>432.46999</v>
      </c>
      <c r="D88" s="2">
        <f t="shared" si="3"/>
        <v>0.00638108108108108</v>
      </c>
      <c r="E88" s="2">
        <f t="shared" si="2"/>
        <v>7.20783316666667</v>
      </c>
    </row>
    <row r="89" spans="1:5">
      <c r="A89" s="1">
        <v>12.3</v>
      </c>
      <c r="B89" s="1">
        <v>1.0228</v>
      </c>
      <c r="C89" s="1">
        <v>437.30001</v>
      </c>
      <c r="D89" s="2">
        <f t="shared" si="3"/>
        <v>0.00645675675675675</v>
      </c>
      <c r="E89" s="2">
        <f t="shared" si="2"/>
        <v>7.2883335</v>
      </c>
    </row>
    <row r="90" spans="1:5">
      <c r="A90" s="1">
        <v>12.4</v>
      </c>
      <c r="B90" s="1">
        <v>1.0311</v>
      </c>
      <c r="C90" s="1">
        <v>441.33</v>
      </c>
      <c r="D90" s="2">
        <f t="shared" si="3"/>
        <v>0.00653153153153153</v>
      </c>
      <c r="E90" s="2">
        <f t="shared" si="2"/>
        <v>7.3555</v>
      </c>
    </row>
    <row r="91" spans="1:5">
      <c r="A91" s="1">
        <v>12.5</v>
      </c>
      <c r="B91" s="1">
        <v>1.0394</v>
      </c>
      <c r="C91" s="1">
        <v>445.34999</v>
      </c>
      <c r="D91" s="2">
        <f t="shared" si="3"/>
        <v>0.00660630630630631</v>
      </c>
      <c r="E91" s="2">
        <f t="shared" si="2"/>
        <v>7.42249983333333</v>
      </c>
    </row>
    <row r="92" spans="1:5">
      <c r="A92" s="1">
        <v>12.6</v>
      </c>
      <c r="B92" s="1">
        <v>1.0477</v>
      </c>
      <c r="C92" s="1">
        <v>449.38001</v>
      </c>
      <c r="D92" s="2">
        <f t="shared" si="3"/>
        <v>0.00668108108108108</v>
      </c>
      <c r="E92" s="2">
        <f t="shared" si="2"/>
        <v>7.48966683333333</v>
      </c>
    </row>
    <row r="93" spans="1:5">
      <c r="A93" s="1">
        <v>12.7</v>
      </c>
      <c r="B93" s="1">
        <v>1.0561</v>
      </c>
      <c r="C93" s="1">
        <v>452.6</v>
      </c>
      <c r="D93" s="2">
        <f t="shared" si="3"/>
        <v>0.00675675675675676</v>
      </c>
      <c r="E93" s="2">
        <f t="shared" si="2"/>
        <v>7.54333333333333</v>
      </c>
    </row>
    <row r="94" spans="1:5">
      <c r="A94" s="1">
        <v>12.8</v>
      </c>
      <c r="B94" s="1">
        <v>1.0644</v>
      </c>
      <c r="C94" s="1">
        <v>456.62999</v>
      </c>
      <c r="D94" s="2">
        <f t="shared" si="3"/>
        <v>0.00683153153153153</v>
      </c>
      <c r="E94" s="2">
        <f t="shared" ref="E94:E147" si="4">C94/$L$4</f>
        <v>7.61049983333333</v>
      </c>
    </row>
    <row r="95" spans="1:5">
      <c r="A95" s="1">
        <v>12.9</v>
      </c>
      <c r="B95" s="1">
        <v>1.0727</v>
      </c>
      <c r="C95" s="1">
        <v>460.66001</v>
      </c>
      <c r="D95" s="2">
        <f t="shared" si="3"/>
        <v>0.0069063063063063</v>
      </c>
      <c r="E95" s="2">
        <f t="shared" si="4"/>
        <v>7.67766683333333</v>
      </c>
    </row>
    <row r="96" spans="1:5">
      <c r="A96" s="1">
        <v>13</v>
      </c>
      <c r="B96" s="1">
        <v>1.081</v>
      </c>
      <c r="C96" s="1">
        <v>463.88</v>
      </c>
      <c r="D96" s="2">
        <f t="shared" si="3"/>
        <v>0.00698108108108108</v>
      </c>
      <c r="E96" s="2">
        <f t="shared" si="4"/>
        <v>7.73133333333333</v>
      </c>
    </row>
    <row r="97" spans="1:5">
      <c r="A97" s="1">
        <v>13.1</v>
      </c>
      <c r="B97" s="1">
        <v>1.0894</v>
      </c>
      <c r="C97" s="1">
        <v>467.89999</v>
      </c>
      <c r="D97" s="2">
        <f t="shared" si="3"/>
        <v>0.00705675675675675</v>
      </c>
      <c r="E97" s="2">
        <f t="shared" si="4"/>
        <v>7.79833316666667</v>
      </c>
    </row>
    <row r="98" spans="1:5">
      <c r="A98" s="1">
        <v>13.2</v>
      </c>
      <c r="B98" s="1">
        <v>1.0978</v>
      </c>
      <c r="C98" s="1">
        <v>471.92998</v>
      </c>
      <c r="D98" s="2">
        <f t="shared" si="3"/>
        <v>0.00713243243243243</v>
      </c>
      <c r="E98" s="2">
        <f t="shared" si="4"/>
        <v>7.86549966666667</v>
      </c>
    </row>
    <row r="99" spans="1:5">
      <c r="A99" s="1">
        <v>13.3</v>
      </c>
      <c r="B99" s="1">
        <v>1.1061</v>
      </c>
      <c r="C99" s="1">
        <v>475.14997</v>
      </c>
      <c r="D99" s="2">
        <f t="shared" si="3"/>
        <v>0.00720720720720721</v>
      </c>
      <c r="E99" s="2">
        <f t="shared" si="4"/>
        <v>7.91916616666667</v>
      </c>
    </row>
    <row r="100" spans="1:5">
      <c r="A100" s="1">
        <v>13.4</v>
      </c>
      <c r="B100" s="1">
        <v>1.1144</v>
      </c>
      <c r="C100" s="1">
        <v>479.17999</v>
      </c>
      <c r="D100" s="2">
        <f t="shared" si="3"/>
        <v>0.00728198198198198</v>
      </c>
      <c r="E100" s="2">
        <f t="shared" si="4"/>
        <v>7.98633316666667</v>
      </c>
    </row>
    <row r="101" spans="1:5">
      <c r="A101" s="1">
        <v>13.5</v>
      </c>
      <c r="B101" s="1">
        <v>1.1227</v>
      </c>
      <c r="C101" s="1">
        <v>482.39999</v>
      </c>
      <c r="D101" s="2">
        <f t="shared" si="3"/>
        <v>0.00735675675675676</v>
      </c>
      <c r="E101" s="2">
        <f t="shared" si="4"/>
        <v>8.03999983333333</v>
      </c>
    </row>
    <row r="102" spans="1:5">
      <c r="A102" s="1">
        <v>13.6</v>
      </c>
      <c r="B102" s="1">
        <v>1.1311</v>
      </c>
      <c r="C102" s="1">
        <v>486.43</v>
      </c>
      <c r="D102" s="2">
        <f t="shared" si="3"/>
        <v>0.00743243243243243</v>
      </c>
      <c r="E102" s="2">
        <f t="shared" si="4"/>
        <v>8.10716666666667</v>
      </c>
    </row>
    <row r="103" spans="1:5">
      <c r="A103" s="1">
        <v>13.7</v>
      </c>
      <c r="B103" s="1">
        <v>1.1394</v>
      </c>
      <c r="C103" s="1">
        <v>489.65</v>
      </c>
      <c r="D103" s="2">
        <f t="shared" si="3"/>
        <v>0.0075072072072072</v>
      </c>
      <c r="E103" s="2">
        <f t="shared" si="4"/>
        <v>8.16083333333333</v>
      </c>
    </row>
    <row r="104" spans="1:5">
      <c r="A104" s="1">
        <v>13.8</v>
      </c>
      <c r="B104" s="1">
        <v>1.1477</v>
      </c>
      <c r="C104" s="1">
        <v>492.86999</v>
      </c>
      <c r="D104" s="2">
        <f t="shared" si="3"/>
        <v>0.00758198198198198</v>
      </c>
      <c r="E104" s="2">
        <f t="shared" si="4"/>
        <v>8.21449983333333</v>
      </c>
    </row>
    <row r="105" spans="1:5">
      <c r="A105" s="1">
        <v>13.9</v>
      </c>
      <c r="B105" s="1">
        <v>1.156</v>
      </c>
      <c r="C105" s="1">
        <v>496.90001</v>
      </c>
      <c r="D105" s="2">
        <f t="shared" si="3"/>
        <v>0.00765675675675675</v>
      </c>
      <c r="E105" s="2">
        <f t="shared" si="4"/>
        <v>8.28166683333333</v>
      </c>
    </row>
    <row r="106" spans="1:5">
      <c r="A106" s="1">
        <v>14</v>
      </c>
      <c r="B106" s="1">
        <v>1.1644</v>
      </c>
      <c r="C106" s="1">
        <v>500.12</v>
      </c>
      <c r="D106" s="2">
        <f t="shared" si="3"/>
        <v>0.00773243243243243</v>
      </c>
      <c r="E106" s="2">
        <f t="shared" si="4"/>
        <v>8.33533333333333</v>
      </c>
    </row>
    <row r="107" spans="1:5">
      <c r="A107" s="1">
        <v>14.1</v>
      </c>
      <c r="B107" s="1">
        <v>1.1728</v>
      </c>
      <c r="C107" s="1">
        <v>503.33999</v>
      </c>
      <c r="D107" s="2">
        <f t="shared" si="3"/>
        <v>0.00780810810810811</v>
      </c>
      <c r="E107" s="2">
        <f t="shared" si="4"/>
        <v>8.38899983333333</v>
      </c>
    </row>
    <row r="108" spans="1:5">
      <c r="A108" s="1">
        <v>14.2</v>
      </c>
      <c r="B108" s="1">
        <v>1.1811</v>
      </c>
      <c r="C108" s="1">
        <v>506.55998</v>
      </c>
      <c r="D108" s="2">
        <f t="shared" si="3"/>
        <v>0.00788288288288288</v>
      </c>
      <c r="E108" s="2">
        <f t="shared" si="4"/>
        <v>8.44266633333333</v>
      </c>
    </row>
    <row r="109" spans="1:5">
      <c r="A109" s="1">
        <v>14.3</v>
      </c>
      <c r="B109" s="1">
        <v>1.1894</v>
      </c>
      <c r="C109" s="1">
        <v>509.77997</v>
      </c>
      <c r="D109" s="2">
        <f t="shared" si="3"/>
        <v>0.00795765765765766</v>
      </c>
      <c r="E109" s="2">
        <f t="shared" si="4"/>
        <v>8.49633283333333</v>
      </c>
    </row>
    <row r="110" spans="1:5">
      <c r="A110" s="1">
        <v>14.4</v>
      </c>
      <c r="B110" s="1">
        <v>1.1977</v>
      </c>
      <c r="C110" s="1">
        <v>512.2</v>
      </c>
      <c r="D110" s="2">
        <f t="shared" si="3"/>
        <v>0.00803243243243243</v>
      </c>
      <c r="E110" s="2">
        <f t="shared" si="4"/>
        <v>8.53666666666667</v>
      </c>
    </row>
    <row r="111" spans="1:5">
      <c r="A111" s="1">
        <v>14.5</v>
      </c>
      <c r="B111" s="1">
        <v>1.2061</v>
      </c>
      <c r="C111" s="1">
        <v>515.41999</v>
      </c>
      <c r="D111" s="2">
        <f t="shared" si="3"/>
        <v>0.00810810810810811</v>
      </c>
      <c r="E111" s="2">
        <f t="shared" si="4"/>
        <v>8.59033316666667</v>
      </c>
    </row>
    <row r="112" spans="1:5">
      <c r="A112" s="1">
        <v>14.6</v>
      </c>
      <c r="B112" s="1">
        <v>1.2144</v>
      </c>
      <c r="C112" s="1">
        <v>518.63998</v>
      </c>
      <c r="D112" s="2">
        <f t="shared" si="3"/>
        <v>0.00818288288288288</v>
      </c>
      <c r="E112" s="2">
        <f t="shared" si="4"/>
        <v>8.64399966666667</v>
      </c>
    </row>
    <row r="113" spans="1:5">
      <c r="A113" s="1">
        <v>14.7</v>
      </c>
      <c r="B113" s="1">
        <v>1.2227</v>
      </c>
      <c r="C113" s="1">
        <v>521.85997</v>
      </c>
      <c r="D113" s="2">
        <f t="shared" si="3"/>
        <v>0.00825765765765766</v>
      </c>
      <c r="E113" s="2">
        <f t="shared" si="4"/>
        <v>8.69766616666667</v>
      </c>
    </row>
    <row r="114" spans="1:5">
      <c r="A114" s="1">
        <v>14.8</v>
      </c>
      <c r="B114" s="1">
        <v>1.231</v>
      </c>
      <c r="C114" s="1">
        <v>524.28</v>
      </c>
      <c r="D114" s="2">
        <f t="shared" si="3"/>
        <v>0.00833243243243243</v>
      </c>
      <c r="E114" s="2">
        <f t="shared" si="4"/>
        <v>8.738</v>
      </c>
    </row>
    <row r="115" spans="1:5">
      <c r="A115" s="1">
        <v>14.9</v>
      </c>
      <c r="B115" s="1">
        <v>1.2394</v>
      </c>
      <c r="C115" s="1">
        <v>527.49999</v>
      </c>
      <c r="D115" s="2">
        <f t="shared" si="3"/>
        <v>0.00840810810810811</v>
      </c>
      <c r="E115" s="2">
        <f t="shared" si="4"/>
        <v>8.7916665</v>
      </c>
    </row>
    <row r="116" spans="1:5">
      <c r="A116" s="1">
        <v>15</v>
      </c>
      <c r="B116" s="1">
        <v>1.2478</v>
      </c>
      <c r="C116" s="1">
        <v>529.92001</v>
      </c>
      <c r="D116" s="2">
        <f t="shared" si="3"/>
        <v>0.00848378378378378</v>
      </c>
      <c r="E116" s="2">
        <f t="shared" si="4"/>
        <v>8.83200016666667</v>
      </c>
    </row>
    <row r="117" spans="1:5">
      <c r="A117" s="1">
        <v>15.1</v>
      </c>
      <c r="B117" s="1">
        <v>1.2561</v>
      </c>
      <c r="C117" s="1">
        <v>532.32998</v>
      </c>
      <c r="D117" s="2">
        <f t="shared" si="3"/>
        <v>0.00855855855855856</v>
      </c>
      <c r="E117" s="2">
        <f t="shared" si="4"/>
        <v>8.87216633333333</v>
      </c>
    </row>
    <row r="118" spans="1:5">
      <c r="A118" s="1">
        <v>15.2</v>
      </c>
      <c r="B118" s="1">
        <v>1.2644</v>
      </c>
      <c r="C118" s="1">
        <v>534.75</v>
      </c>
      <c r="D118" s="2">
        <f t="shared" si="3"/>
        <v>0.00863333333333333</v>
      </c>
      <c r="E118" s="2">
        <f t="shared" si="4"/>
        <v>8.9125</v>
      </c>
    </row>
    <row r="119" spans="1:5">
      <c r="A119" s="1">
        <v>15.3</v>
      </c>
      <c r="B119" s="1">
        <v>1.2727</v>
      </c>
      <c r="C119" s="1">
        <v>537.16002</v>
      </c>
      <c r="D119" s="2">
        <f t="shared" si="3"/>
        <v>0.00870810810810811</v>
      </c>
      <c r="E119" s="2">
        <f t="shared" si="4"/>
        <v>8.952667</v>
      </c>
    </row>
    <row r="120" spans="1:5">
      <c r="A120" s="1">
        <v>15.4</v>
      </c>
      <c r="B120" s="1">
        <v>1.2811</v>
      </c>
      <c r="C120" s="1">
        <v>538.78002</v>
      </c>
      <c r="D120" s="2">
        <f t="shared" si="3"/>
        <v>0.00878378378378378</v>
      </c>
      <c r="E120" s="2">
        <f t="shared" si="4"/>
        <v>8.979667</v>
      </c>
    </row>
    <row r="121" spans="1:5">
      <c r="A121" s="1">
        <v>15.5</v>
      </c>
      <c r="B121" s="1">
        <v>1.2894</v>
      </c>
      <c r="C121" s="1">
        <v>541.18998</v>
      </c>
      <c r="D121" s="2">
        <f t="shared" si="3"/>
        <v>0.00885855855855856</v>
      </c>
      <c r="E121" s="2">
        <f t="shared" si="4"/>
        <v>9.019833</v>
      </c>
    </row>
    <row r="122" spans="1:5">
      <c r="A122" s="1">
        <v>15.6</v>
      </c>
      <c r="B122" s="1">
        <v>1.2977</v>
      </c>
      <c r="C122" s="1">
        <v>542.79998</v>
      </c>
      <c r="D122" s="2">
        <f t="shared" si="3"/>
        <v>0.00893333333333333</v>
      </c>
      <c r="E122" s="2">
        <f t="shared" si="4"/>
        <v>9.04666633333333</v>
      </c>
    </row>
    <row r="123" spans="1:5">
      <c r="A123" s="1">
        <v>15.7</v>
      </c>
      <c r="B123" s="1">
        <v>1.306</v>
      </c>
      <c r="C123" s="1">
        <v>545.22</v>
      </c>
      <c r="D123" s="2">
        <f t="shared" si="3"/>
        <v>0.00900810810810811</v>
      </c>
      <c r="E123" s="2">
        <f t="shared" si="4"/>
        <v>9.087</v>
      </c>
    </row>
    <row r="124" spans="1:5">
      <c r="A124" s="1">
        <v>15.8</v>
      </c>
      <c r="B124" s="1">
        <v>1.3144</v>
      </c>
      <c r="C124" s="1">
        <v>546.02003</v>
      </c>
      <c r="D124" s="2">
        <f t="shared" si="3"/>
        <v>0.00908378378378378</v>
      </c>
      <c r="E124" s="2">
        <f t="shared" si="4"/>
        <v>9.10033383333333</v>
      </c>
    </row>
    <row r="125" spans="1:5">
      <c r="A125" s="1">
        <v>15.9</v>
      </c>
      <c r="B125" s="1">
        <v>1.3228</v>
      </c>
      <c r="C125" s="1">
        <v>547.63002</v>
      </c>
      <c r="D125" s="2">
        <f t="shared" si="3"/>
        <v>0.00915945945945946</v>
      </c>
      <c r="E125" s="2">
        <f t="shared" si="4"/>
        <v>9.127167</v>
      </c>
    </row>
    <row r="126" spans="1:5">
      <c r="A126" s="1">
        <v>16</v>
      </c>
      <c r="B126" s="1">
        <v>1.3311</v>
      </c>
      <c r="C126" s="1">
        <v>549.25002</v>
      </c>
      <c r="D126" s="2">
        <f t="shared" si="3"/>
        <v>0.00923423423423423</v>
      </c>
      <c r="E126" s="2">
        <f t="shared" si="4"/>
        <v>9.154167</v>
      </c>
    </row>
    <row r="127" spans="1:5">
      <c r="A127" s="1">
        <v>16.1</v>
      </c>
      <c r="B127" s="1">
        <v>1.3394</v>
      </c>
      <c r="C127" s="1">
        <v>550.04999</v>
      </c>
      <c r="D127" s="2">
        <f t="shared" si="3"/>
        <v>0.00930900900900901</v>
      </c>
      <c r="E127" s="2">
        <f t="shared" si="4"/>
        <v>9.16749983333333</v>
      </c>
    </row>
    <row r="128" spans="1:5">
      <c r="A128" s="1">
        <v>16.2</v>
      </c>
      <c r="B128" s="1">
        <v>1.3477</v>
      </c>
      <c r="C128" s="1">
        <v>550.86002</v>
      </c>
      <c r="D128" s="2">
        <f t="shared" si="3"/>
        <v>0.00938378378378378</v>
      </c>
      <c r="E128" s="2">
        <f t="shared" si="4"/>
        <v>9.18100033333333</v>
      </c>
    </row>
    <row r="129" spans="1:5">
      <c r="A129" s="1">
        <v>16.3</v>
      </c>
      <c r="B129" s="1">
        <v>1.3561</v>
      </c>
      <c r="C129" s="1">
        <v>551.65999</v>
      </c>
      <c r="D129" s="2">
        <f t="shared" si="3"/>
        <v>0.00945945945945946</v>
      </c>
      <c r="E129" s="2">
        <f t="shared" si="4"/>
        <v>9.19433316666667</v>
      </c>
    </row>
    <row r="130" spans="1:5">
      <c r="A130" s="1">
        <v>16.4</v>
      </c>
      <c r="B130" s="1">
        <v>1.3644</v>
      </c>
      <c r="C130" s="1">
        <v>551.65999</v>
      </c>
      <c r="D130" s="2">
        <f t="shared" si="3"/>
        <v>0.00953423423423423</v>
      </c>
      <c r="E130" s="2">
        <f t="shared" si="4"/>
        <v>9.19433316666667</v>
      </c>
    </row>
    <row r="131" spans="1:5">
      <c r="A131" s="1">
        <v>16.5</v>
      </c>
      <c r="B131" s="1">
        <v>1.3727</v>
      </c>
      <c r="C131" s="1">
        <v>551.65999</v>
      </c>
      <c r="D131" s="2">
        <f t="shared" si="3"/>
        <v>0.00960900900900901</v>
      </c>
      <c r="E131" s="2">
        <f t="shared" si="4"/>
        <v>9.19433316666667</v>
      </c>
    </row>
    <row r="132" spans="1:5">
      <c r="A132" s="1">
        <v>16.6</v>
      </c>
      <c r="B132" s="1">
        <v>1.381</v>
      </c>
      <c r="C132" s="1">
        <v>551.65999</v>
      </c>
      <c r="D132" s="2">
        <f t="shared" ref="D132:D147" si="5">((B132/$L$3))-0.00275765765765766</f>
        <v>0.00968378378378378</v>
      </c>
      <c r="E132" s="2">
        <f t="shared" si="4"/>
        <v>9.19433316666667</v>
      </c>
    </row>
    <row r="133" spans="1:5">
      <c r="A133" s="1">
        <v>16.7</v>
      </c>
      <c r="B133" s="1">
        <v>1.3894</v>
      </c>
      <c r="C133" s="1">
        <v>550.86002</v>
      </c>
      <c r="D133" s="2">
        <f t="shared" si="5"/>
        <v>0.00975945945945946</v>
      </c>
      <c r="E133" s="2">
        <f t="shared" si="4"/>
        <v>9.18100033333333</v>
      </c>
    </row>
    <row r="134" spans="1:5">
      <c r="A134" s="1">
        <v>16.8</v>
      </c>
      <c r="B134" s="1">
        <v>1.3978</v>
      </c>
      <c r="C134" s="1">
        <v>550.04999</v>
      </c>
      <c r="D134" s="2">
        <f t="shared" si="5"/>
        <v>0.00983513513513513</v>
      </c>
      <c r="E134" s="2">
        <f t="shared" si="4"/>
        <v>9.16749983333333</v>
      </c>
    </row>
    <row r="135" spans="1:5">
      <c r="A135" s="1">
        <v>16.9</v>
      </c>
      <c r="B135" s="1">
        <v>1.4061</v>
      </c>
      <c r="C135" s="1">
        <v>549.25002</v>
      </c>
      <c r="D135" s="2">
        <f t="shared" si="5"/>
        <v>0.00990990990990991</v>
      </c>
      <c r="E135" s="2">
        <f t="shared" si="4"/>
        <v>9.154167</v>
      </c>
    </row>
    <row r="136" spans="1:5">
      <c r="A136" s="1">
        <v>17</v>
      </c>
      <c r="B136" s="1">
        <v>1.4144</v>
      </c>
      <c r="C136" s="1">
        <v>547.63002</v>
      </c>
      <c r="D136" s="2">
        <f t="shared" si="5"/>
        <v>0.00998468468468468</v>
      </c>
      <c r="E136" s="2">
        <f t="shared" si="4"/>
        <v>9.127167</v>
      </c>
    </row>
    <row r="137" spans="1:5">
      <c r="A137" s="1">
        <v>17.1</v>
      </c>
      <c r="B137" s="1">
        <v>1.4227</v>
      </c>
      <c r="C137" s="1">
        <v>546.02003</v>
      </c>
      <c r="D137" s="2">
        <f t="shared" si="5"/>
        <v>0.0100594594594595</v>
      </c>
      <c r="E137" s="2">
        <f t="shared" si="4"/>
        <v>9.10033383333333</v>
      </c>
    </row>
    <row r="138" spans="1:5">
      <c r="A138" s="1">
        <v>17.2</v>
      </c>
      <c r="B138" s="1">
        <v>1.4311</v>
      </c>
      <c r="C138" s="1">
        <v>543.61001</v>
      </c>
      <c r="D138" s="2">
        <f t="shared" si="5"/>
        <v>0.0101351351351351</v>
      </c>
      <c r="E138" s="2">
        <f t="shared" si="4"/>
        <v>9.06016683333333</v>
      </c>
    </row>
    <row r="139" spans="1:5">
      <c r="A139" s="1">
        <v>17.3</v>
      </c>
      <c r="B139" s="1">
        <v>1.4394</v>
      </c>
      <c r="C139" s="1">
        <v>540.39001</v>
      </c>
      <c r="D139" s="2">
        <f t="shared" si="5"/>
        <v>0.0102099099099099</v>
      </c>
      <c r="E139" s="2">
        <f t="shared" si="4"/>
        <v>9.00650016666667</v>
      </c>
    </row>
    <row r="140" spans="1:5">
      <c r="A140" s="1">
        <v>17.4</v>
      </c>
      <c r="B140" s="1">
        <v>1.4477</v>
      </c>
      <c r="C140" s="1">
        <v>537.96999</v>
      </c>
      <c r="D140" s="2">
        <f t="shared" si="5"/>
        <v>0.0102846846846847</v>
      </c>
      <c r="E140" s="2">
        <f t="shared" si="4"/>
        <v>8.9661665</v>
      </c>
    </row>
    <row r="141" spans="1:5">
      <c r="A141" s="1">
        <v>17.5</v>
      </c>
      <c r="B141" s="1">
        <v>1.456</v>
      </c>
      <c r="C141" s="1">
        <v>534.75</v>
      </c>
      <c r="D141" s="2">
        <f t="shared" si="5"/>
        <v>0.0103594594594595</v>
      </c>
      <c r="E141" s="2">
        <f t="shared" si="4"/>
        <v>8.9125</v>
      </c>
    </row>
    <row r="142" spans="1:5">
      <c r="A142" s="1">
        <v>17.6</v>
      </c>
      <c r="B142" s="1">
        <v>1.4644</v>
      </c>
      <c r="C142" s="1">
        <v>530.71998</v>
      </c>
      <c r="D142" s="2">
        <f t="shared" si="5"/>
        <v>0.0104351351351351</v>
      </c>
      <c r="E142" s="2">
        <f t="shared" si="4"/>
        <v>8.845333</v>
      </c>
    </row>
    <row r="143" spans="1:5">
      <c r="A143" s="1">
        <v>17.7</v>
      </c>
      <c r="B143" s="1">
        <v>1.4728</v>
      </c>
      <c r="C143" s="1">
        <v>525.88999</v>
      </c>
      <c r="D143" s="2">
        <f t="shared" si="5"/>
        <v>0.0105108108108108</v>
      </c>
      <c r="E143" s="2">
        <f t="shared" si="4"/>
        <v>8.76483316666667</v>
      </c>
    </row>
    <row r="144" spans="1:5">
      <c r="A144" s="1">
        <v>17.8</v>
      </c>
      <c r="B144" s="1">
        <v>1.4811</v>
      </c>
      <c r="C144" s="1">
        <v>520.24998</v>
      </c>
      <c r="D144" s="2">
        <f t="shared" si="5"/>
        <v>0.0105855855855856</v>
      </c>
      <c r="E144" s="2">
        <f t="shared" si="4"/>
        <v>8.670833</v>
      </c>
    </row>
    <row r="145" spans="1:5">
      <c r="A145" s="1">
        <v>17.9</v>
      </c>
      <c r="B145" s="1">
        <v>1.4894</v>
      </c>
      <c r="C145" s="1">
        <v>513.80999</v>
      </c>
      <c r="D145" s="2">
        <f t="shared" si="5"/>
        <v>0.0106603603603604</v>
      </c>
      <c r="E145" s="2">
        <f t="shared" si="4"/>
        <v>8.56349983333333</v>
      </c>
    </row>
    <row r="146" spans="1:5">
      <c r="D146" s="2"/>
      <c r="E146" s="2"/>
    </row>
    <row r="147" spans="1:5">
      <c r="D147" s="2"/>
      <c r="E147" s="2"/>
    </row>
    <row r="148" spans="1:5">
      <c r="D148" s="2"/>
      <c r="E148" s="2"/>
    </row>
    <row r="149" spans="1:5">
      <c r="D149" s="2"/>
      <c r="E149" s="2"/>
    </row>
    <row r="150" spans="1:5">
      <c r="D150" s="2"/>
      <c r="E150" s="2"/>
    </row>
    <row r="151" spans="1:5">
      <c r="D151" s="2"/>
      <c r="E151" s="2"/>
    </row>
    <row r="152" spans="1:5">
      <c r="D152" s="2"/>
      <c r="E152" s="2"/>
    </row>
    <row r="153" spans="1:5">
      <c r="D153" s="2"/>
      <c r="E153" s="2"/>
    </row>
    <row r="154" spans="1:5">
      <c r="D154" s="2"/>
      <c r="E154" s="2"/>
    </row>
    <row r="155" spans="1:5">
      <c r="D155" s="2"/>
      <c r="E155" s="2"/>
    </row>
    <row r="156" spans="1:5">
      <c r="D156" s="2"/>
      <c r="E156" s="2"/>
    </row>
    <row r="157" spans="1:5">
      <c r="D157" s="2"/>
      <c r="E157" s="2"/>
    </row>
    <row r="158" spans="1:5">
      <c r="D158" s="2"/>
      <c r="E158" s="2"/>
    </row>
    <row r="159" spans="1:5">
      <c r="D159" s="2"/>
      <c r="E159" s="2"/>
    </row>
    <row r="160" spans="1:5">
      <c r="D160" s="2"/>
      <c r="E160" s="2"/>
    </row>
    <row r="161" spans="4:5">
      <c r="D161" s="2"/>
      <c r="E161" s="2"/>
    </row>
    <row r="162" spans="4:5">
      <c r="D162" s="2"/>
      <c r="E162" s="2"/>
    </row>
    <row r="163" spans="4:5">
      <c r="D163" s="2"/>
      <c r="E163" s="2"/>
    </row>
    <row r="164" spans="4:5">
      <c r="D164" s="2"/>
      <c r="E164" s="2"/>
    </row>
    <row r="165" spans="4:5">
      <c r="D165" s="2"/>
      <c r="E165" s="2"/>
    </row>
    <row r="166" spans="4:5">
      <c r="D166" s="2"/>
      <c r="E166" s="2"/>
    </row>
    <row r="167" spans="4:5">
      <c r="D167" s="2"/>
      <c r="E167" s="2"/>
    </row>
    <row r="168" spans="4:5">
      <c r="D168" s="2"/>
      <c r="E168" s="2"/>
    </row>
    <row r="169" spans="4:5">
      <c r="D169" s="2"/>
      <c r="E169" s="2"/>
    </row>
    <row r="170" spans="4:5">
      <c r="D170" s="2"/>
      <c r="E170" s="2"/>
    </row>
    <row r="171" spans="4:5">
      <c r="D171" s="2"/>
      <c r="E171" s="2"/>
    </row>
    <row r="172" spans="4:5">
      <c r="D172" s="2"/>
      <c r="E172" s="2"/>
    </row>
    <row r="173" spans="4:5">
      <c r="D173" s="2"/>
      <c r="E173" s="2"/>
    </row>
    <row r="174" spans="4:5">
      <c r="D174" s="2"/>
      <c r="E174" s="2"/>
    </row>
    <row r="175" spans="4:5">
      <c r="D175" s="2"/>
      <c r="E175" s="2"/>
    </row>
    <row r="176" spans="4:5">
      <c r="D176" s="2"/>
      <c r="E176" s="2"/>
    </row>
    <row r="177" spans="4:5">
      <c r="D177" s="2"/>
      <c r="E177" s="2"/>
    </row>
    <row r="178" spans="4:5">
      <c r="D178" s="2"/>
      <c r="E178" s="2"/>
    </row>
    <row r="179" spans="4:5">
      <c r="D179" s="2"/>
      <c r="E179" s="2"/>
    </row>
    <row r="180" spans="4:5">
      <c r="D180" s="2"/>
      <c r="E180" s="2"/>
    </row>
    <row r="181" spans="4:5">
      <c r="D181" s="2"/>
      <c r="E181" s="2"/>
    </row>
    <row r="182" spans="4:5">
      <c r="D182" s="2"/>
      <c r="E182" s="2"/>
    </row>
    <row r="183" spans="4:5">
      <c r="D183" s="2"/>
      <c r="E183" s="2"/>
    </row>
    <row r="184" spans="4:5">
      <c r="D184" s="2"/>
      <c r="E184" s="2"/>
    </row>
    <row r="185" spans="4:5">
      <c r="D185" s="2"/>
      <c r="E185" s="2"/>
    </row>
    <row r="186" spans="4:5">
      <c r="D186" s="2"/>
      <c r="E186" s="2"/>
    </row>
    <row r="187" spans="4:5">
      <c r="D187" s="2"/>
      <c r="E187" s="2"/>
    </row>
    <row r="188" spans="4:5">
      <c r="D188" s="2"/>
      <c r="E188" s="2"/>
    </row>
    <row r="189" spans="4:5">
      <c r="D189" s="2"/>
      <c r="E189" s="2"/>
    </row>
    <row r="190" spans="4:5">
      <c r="D190" s="2"/>
      <c r="E190" s="2"/>
    </row>
    <row r="191" spans="4:5">
      <c r="D191" s="2"/>
      <c r="E191" s="2"/>
    </row>
    <row r="192" spans="4:5">
      <c r="D192" s="2"/>
      <c r="E192" s="2"/>
    </row>
    <row r="193" spans="4:5">
      <c r="D193" s="2"/>
      <c r="E193" s="2"/>
    </row>
    <row r="194" spans="4:5">
      <c r="D194" s="2"/>
      <c r="E194" s="2"/>
    </row>
    <row r="195" spans="4:5">
      <c r="D195" s="2"/>
      <c r="E195" s="2"/>
    </row>
    <row r="196" spans="4:5">
      <c r="D196" s="2"/>
      <c r="E196" s="2"/>
    </row>
    <row r="197" spans="4:5">
      <c r="D197" s="2"/>
      <c r="E197" s="2"/>
    </row>
    <row r="198" spans="4:5">
      <c r="D198" s="2"/>
      <c r="E198" s="2"/>
    </row>
    <row r="199" spans="4:5">
      <c r="D199" s="2"/>
      <c r="E199" s="2"/>
    </row>
    <row r="200" spans="4:5">
      <c r="D200" s="2"/>
      <c r="E200" s="2"/>
    </row>
    <row r="201" spans="4:5">
      <c r="D201" s="2"/>
      <c r="E201" s="2"/>
    </row>
    <row r="202" spans="4:5">
      <c r="D202" s="2"/>
      <c r="E202" s="2"/>
    </row>
    <row r="203" spans="4:5">
      <c r="D203" s="2"/>
      <c r="E203" s="2"/>
    </row>
    <row r="204" spans="4:5">
      <c r="D204" s="2"/>
      <c r="E204" s="2"/>
    </row>
    <row r="205" spans="4:5">
      <c r="D205" s="2"/>
      <c r="E205" s="2"/>
    </row>
    <row r="206" spans="4:5">
      <c r="D206" s="2"/>
      <c r="E206" s="2"/>
    </row>
    <row r="207" spans="4:5">
      <c r="D207" s="2"/>
      <c r="E207" s="2"/>
    </row>
    <row r="208" spans="4:5">
      <c r="D208" s="2"/>
      <c r="E208" s="2"/>
    </row>
    <row r="209" spans="4:5">
      <c r="D209" s="2"/>
      <c r="E209" s="2"/>
    </row>
    <row r="210" spans="4:5">
      <c r="D210" s="2"/>
      <c r="E210" s="2"/>
    </row>
    <row r="211" spans="4:5">
      <c r="D211" s="2"/>
      <c r="E211" s="2"/>
    </row>
    <row r="212" spans="4:5">
      <c r="D212" s="2"/>
      <c r="E212" s="2"/>
    </row>
    <row r="213" spans="4:5">
      <c r="D213" s="2"/>
      <c r="E213" s="2"/>
    </row>
    <row r="214" spans="4:5">
      <c r="D214" s="2"/>
      <c r="E214" s="2"/>
    </row>
    <row r="215" spans="4:5">
      <c r="D215" s="2"/>
      <c r="E215" s="2"/>
    </row>
    <row r="216" spans="4:5">
      <c r="D216" s="2"/>
      <c r="E216" s="2"/>
    </row>
    <row r="217" spans="4:5">
      <c r="D217" s="2"/>
      <c r="E217" s="2"/>
    </row>
    <row r="218" spans="4:5">
      <c r="D218" s="2"/>
      <c r="E218" s="2"/>
    </row>
    <row r="219" spans="4:5">
      <c r="D219" s="2"/>
      <c r="E219" s="2"/>
    </row>
    <row r="220" spans="4:5">
      <c r="D220" s="2"/>
      <c r="E220" s="2"/>
    </row>
    <row r="221" spans="4:5">
      <c r="D221" s="2"/>
      <c r="E221" s="2"/>
    </row>
    <row r="222" spans="4:5">
      <c r="D222" s="2"/>
      <c r="E222" s="2"/>
    </row>
    <row r="223" spans="4:5">
      <c r="D223" s="2"/>
      <c r="E223" s="2"/>
    </row>
    <row r="224" spans="4:5">
      <c r="D224" s="2"/>
      <c r="E224" s="2"/>
    </row>
    <row r="225" spans="4:5">
      <c r="D225" s="2"/>
      <c r="E225" s="2"/>
    </row>
    <row r="226" spans="4:5">
      <c r="D226" s="2"/>
      <c r="E226" s="2"/>
    </row>
    <row r="227" spans="4:5">
      <c r="D227" s="2"/>
      <c r="E227" s="2"/>
    </row>
    <row r="228" spans="4:5">
      <c r="D228" s="2"/>
      <c r="E228" s="2"/>
    </row>
    <row r="229" spans="4:5">
      <c r="D229" s="2"/>
      <c r="E229" s="2"/>
    </row>
    <row r="230" spans="4:5">
      <c r="D230" s="2"/>
      <c r="E230" s="2"/>
    </row>
    <row r="231" spans="4:5">
      <c r="D231" s="2"/>
      <c r="E231" s="2"/>
    </row>
    <row r="232" spans="4:5">
      <c r="D232" s="2"/>
      <c r="E232" s="2"/>
    </row>
    <row r="233" spans="4:5">
      <c r="D233" s="2"/>
      <c r="E233" s="2"/>
    </row>
    <row r="234" spans="4:5">
      <c r="D234" s="2"/>
      <c r="E234" s="2"/>
    </row>
    <row r="235" spans="4:5">
      <c r="D235" s="2"/>
      <c r="E235" s="2"/>
    </row>
    <row r="236" spans="4:5">
      <c r="D236" s="2"/>
      <c r="E236" s="2"/>
    </row>
    <row r="237" spans="4:5">
      <c r="D237" s="2"/>
      <c r="E237" s="2"/>
    </row>
    <row r="238" spans="4:5">
      <c r="D238" s="2"/>
      <c r="E238" s="2"/>
    </row>
    <row r="239" spans="4:5">
      <c r="D239" s="2"/>
      <c r="E239" s="2"/>
    </row>
    <row r="240" spans="4:5">
      <c r="D240" s="2"/>
      <c r="E240" s="2"/>
    </row>
    <row r="241" spans="4:5">
      <c r="D241" s="2"/>
      <c r="E241" s="2"/>
    </row>
    <row r="242" spans="4:5">
      <c r="D242" s="2"/>
      <c r="E242" s="2"/>
    </row>
    <row r="243" spans="4:5">
      <c r="D243" s="2"/>
      <c r="E243" s="2"/>
    </row>
    <row r="244" spans="4:5">
      <c r="D244" s="2"/>
      <c r="E244" s="2"/>
    </row>
    <row r="245" spans="4:5">
      <c r="D245" s="2"/>
      <c r="E245" s="2"/>
    </row>
    <row r="246" spans="4:5">
      <c r="D246" s="2"/>
      <c r="E246" s="2"/>
    </row>
    <row r="247" spans="4:5">
      <c r="D247" s="2"/>
      <c r="E247" s="2"/>
    </row>
    <row r="248" spans="4:5">
      <c r="D248" s="2"/>
      <c r="E248" s="2"/>
    </row>
    <row r="249" spans="4:5">
      <c r="D249" s="2"/>
      <c r="E249" s="2"/>
    </row>
    <row r="250" spans="4:5">
      <c r="D250" s="2"/>
      <c r="E250" s="2"/>
    </row>
    <row r="251" spans="4:5">
      <c r="D251" s="2"/>
      <c r="E251" s="2"/>
    </row>
    <row r="252" spans="4:5">
      <c r="D252" s="2"/>
      <c r="E252" s="2"/>
    </row>
    <row r="253" spans="4:5">
      <c r="D253" s="2"/>
      <c r="E253" s="2"/>
    </row>
    <row r="254" spans="4:5">
      <c r="D254" s="2"/>
      <c r="E254" s="2"/>
    </row>
    <row r="255" spans="4:5">
      <c r="D255" s="2"/>
      <c r="E255" s="2"/>
    </row>
    <row r="256" spans="4:5">
      <c r="D256" s="2"/>
      <c r="E256" s="2"/>
    </row>
    <row r="257" spans="4:5">
      <c r="D257" s="2"/>
      <c r="E257" s="2"/>
    </row>
    <row r="258" spans="4:5">
      <c r="D258" s="2"/>
      <c r="E258" s="2"/>
    </row>
    <row r="259" spans="4:5">
      <c r="D259" s="2"/>
      <c r="E259" s="2"/>
    </row>
    <row r="260" spans="4:5">
      <c r="D260" s="2"/>
      <c r="E260" s="2"/>
    </row>
    <row r="261" spans="4:5">
      <c r="D261" s="2"/>
      <c r="E261" s="2"/>
    </row>
    <row r="262" spans="4:5">
      <c r="D262" s="2"/>
      <c r="E262" s="2"/>
    </row>
    <row r="263" spans="4:5">
      <c r="D263" s="2"/>
      <c r="E263" s="2"/>
    </row>
    <row r="264" spans="4:5">
      <c r="D264" s="2"/>
      <c r="E264" s="2"/>
    </row>
    <row r="265" spans="4:5">
      <c r="D265" s="2"/>
      <c r="E265" s="2"/>
    </row>
    <row r="266" spans="4:5">
      <c r="D266" s="2"/>
      <c r="E266" s="2"/>
    </row>
    <row r="267" spans="4:5">
      <c r="D267" s="2"/>
      <c r="E267" s="2"/>
    </row>
    <row r="268" spans="4:5">
      <c r="D268" s="2"/>
      <c r="E268" s="2"/>
    </row>
    <row r="269" spans="4:5">
      <c r="D269" s="2"/>
      <c r="E269" s="2"/>
    </row>
    <row r="270" spans="4:5">
      <c r="D270" s="2"/>
      <c r="E270" s="2"/>
    </row>
    <row r="271" spans="4:5">
      <c r="D271" s="2"/>
      <c r="E271" s="2"/>
    </row>
    <row r="272" spans="4:5">
      <c r="D272" s="2"/>
      <c r="E272" s="2"/>
    </row>
    <row r="273" spans="4:5">
      <c r="D273" s="2"/>
      <c r="E273" s="2"/>
    </row>
    <row r="274" spans="4:5">
      <c r="D274" s="2"/>
      <c r="E274" s="2"/>
    </row>
    <row r="275" spans="4:5">
      <c r="D275" s="2"/>
      <c r="E275" s="2"/>
    </row>
    <row r="276" spans="4:5">
      <c r="D276" s="2"/>
      <c r="E276" s="2"/>
    </row>
    <row r="277" spans="4:5">
      <c r="D277" s="2"/>
      <c r="E277" s="2"/>
    </row>
    <row r="278" spans="4:5">
      <c r="D278" s="2"/>
      <c r="E278" s="2"/>
    </row>
    <row r="279" spans="4:5">
      <c r="D279" s="2"/>
      <c r="E279" s="2"/>
    </row>
    <row r="280" spans="4:5">
      <c r="D280" s="2"/>
      <c r="E280" s="2"/>
    </row>
    <row r="281" spans="4:5">
      <c r="D281" s="2"/>
      <c r="E281" s="2"/>
    </row>
    <row r="282" spans="4:5">
      <c r="D282" s="2"/>
      <c r="E282" s="2"/>
    </row>
    <row r="283" spans="4:5">
      <c r="D283" s="2"/>
      <c r="E283" s="2"/>
    </row>
    <row r="284" spans="4:5">
      <c r="D284" s="2"/>
      <c r="E284" s="2"/>
    </row>
    <row r="285" spans="4:5">
      <c r="D285" s="2"/>
      <c r="E285" s="2"/>
    </row>
    <row r="286" spans="4:5">
      <c r="D286" s="2"/>
      <c r="E286" s="2"/>
    </row>
    <row r="287" spans="4:5">
      <c r="D287" s="2"/>
      <c r="E287" s="2"/>
    </row>
    <row r="288" spans="4:5">
      <c r="D288" s="2"/>
      <c r="E288" s="2"/>
    </row>
    <row r="289" spans="4:5">
      <c r="D289" s="2"/>
      <c r="E289" s="2"/>
    </row>
    <row r="290" spans="4:5">
      <c r="D290" s="2"/>
      <c r="E290" s="2"/>
    </row>
    <row r="291" spans="4:5">
      <c r="D291" s="2"/>
      <c r="E291" s="2"/>
    </row>
    <row r="292" spans="4:5">
      <c r="D292" s="2"/>
      <c r="E292" s="2"/>
    </row>
    <row r="293" spans="4:5">
      <c r="D293" s="2"/>
      <c r="E293" s="2"/>
    </row>
    <row r="294" spans="4:5">
      <c r="D294" s="2"/>
      <c r="E294" s="2"/>
    </row>
    <row r="295" spans="4:5">
      <c r="D295" s="2"/>
      <c r="E295" s="2"/>
    </row>
    <row r="296" spans="4:5">
      <c r="D296" s="2"/>
      <c r="E296" s="2"/>
    </row>
    <row r="297" spans="4:5">
      <c r="D297" s="2"/>
      <c r="E297" s="2"/>
    </row>
    <row r="298" spans="4:5">
      <c r="D298" s="2"/>
      <c r="E298" s="2"/>
    </row>
    <row r="299" spans="4:5">
      <c r="D299" s="2"/>
      <c r="E299" s="2"/>
    </row>
    <row r="300" spans="4:5">
      <c r="D300" s="2"/>
      <c r="E300" s="2"/>
    </row>
    <row r="301" spans="4:5">
      <c r="D301" s="2"/>
      <c r="E301" s="2"/>
    </row>
    <row r="302" spans="4:5">
      <c r="D302" s="2"/>
      <c r="E302" s="2"/>
    </row>
    <row r="303" spans="4:5">
      <c r="D303" s="2"/>
      <c r="E303" s="2"/>
    </row>
    <row r="304" spans="4:5">
      <c r="D304" s="2"/>
      <c r="E304" s="2"/>
    </row>
    <row r="305" spans="4:5">
      <c r="D305" s="2"/>
      <c r="E305" s="2"/>
    </row>
    <row r="306" spans="4:5">
      <c r="D306" s="2"/>
      <c r="E306" s="2"/>
    </row>
    <row r="307" spans="4:5">
      <c r="D307" s="2"/>
      <c r="E307" s="2"/>
    </row>
    <row r="308" spans="4:5">
      <c r="D308" s="2"/>
      <c r="E308" s="2"/>
    </row>
    <row r="309" spans="4:5">
      <c r="D309" s="2"/>
      <c r="E309" s="2"/>
    </row>
    <row r="310" spans="4:5">
      <c r="D310" s="2"/>
      <c r="E310" s="2"/>
    </row>
    <row r="311" spans="4:5">
      <c r="D311" s="2"/>
      <c r="E311" s="2"/>
    </row>
    <row r="312" spans="4:5">
      <c r="D312" s="2"/>
      <c r="E312" s="2"/>
    </row>
    <row r="313" spans="4:5">
      <c r="D313" s="2"/>
      <c r="E313" s="2"/>
    </row>
    <row r="314" spans="4:5">
      <c r="D314" s="2"/>
      <c r="E314" s="2"/>
    </row>
    <row r="315" spans="4:5">
      <c r="D315" s="2"/>
      <c r="E315" s="2"/>
    </row>
    <row r="316" spans="4:5">
      <c r="D316" s="2"/>
      <c r="E316" s="2"/>
    </row>
    <row r="317" spans="4:5">
      <c r="D317" s="2"/>
      <c r="E317" s="2"/>
    </row>
    <row r="318" spans="4:5">
      <c r="D318" s="2"/>
      <c r="E318" s="2"/>
    </row>
    <row r="319" spans="4:5">
      <c r="D319" s="2"/>
      <c r="E319" s="2"/>
    </row>
    <row r="320" spans="4:5">
      <c r="D320" s="2"/>
      <c r="E320" s="2"/>
    </row>
    <row r="321" spans="4:5">
      <c r="D321" s="2"/>
      <c r="E321" s="2"/>
    </row>
    <row r="322" spans="4:5">
      <c r="D322" s="2"/>
      <c r="E322" s="2"/>
    </row>
    <row r="323" spans="4:5">
      <c r="D323" s="2"/>
      <c r="E323" s="2"/>
    </row>
    <row r="324" spans="4:5">
      <c r="D324" s="2"/>
      <c r="E324" s="2"/>
    </row>
    <row r="325" spans="4:5">
      <c r="D325" s="2"/>
      <c r="E325" s="2"/>
    </row>
    <row r="326" spans="4:5">
      <c r="D326" s="2"/>
      <c r="E326" s="2"/>
    </row>
    <row r="327" spans="4:5">
      <c r="D327" s="2"/>
      <c r="E327" s="2"/>
    </row>
    <row r="328" spans="4:5">
      <c r="D328" s="2"/>
      <c r="E328" s="2"/>
    </row>
    <row r="329" spans="4:5">
      <c r="D329" s="2"/>
      <c r="E329" s="2"/>
    </row>
    <row r="330" spans="4:5">
      <c r="D330" s="2"/>
      <c r="E330" s="2"/>
    </row>
    <row r="331" spans="4:5">
      <c r="D331" s="2"/>
      <c r="E331" s="2"/>
    </row>
    <row r="332" spans="4:5">
      <c r="D332" s="2"/>
      <c r="E332" s="2"/>
    </row>
    <row r="333" spans="4:5">
      <c r="D333" s="2"/>
      <c r="E333" s="2"/>
    </row>
    <row r="334" spans="4:5">
      <c r="D334" s="2"/>
      <c r="E334" s="2"/>
    </row>
    <row r="335" spans="4:5">
      <c r="D335" s="2"/>
      <c r="E335" s="2"/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5"/>
  <sheetViews>
    <sheetView workbookViewId="0">
      <selection activeCell="G19" sqref="G19"/>
    </sheetView>
  </sheetViews>
  <sheetFormatPr defaultColWidth="9" defaultRowHeight="14"/>
  <cols>
    <col min="1" max="3" width="8.84166666666667" style="1"/>
    <col min="4" max="4" width="11.3166666666667" customWidth="1"/>
    <col min="5" max="5" width="6.84166666666667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2" t="s">
        <v>8</v>
      </c>
      <c r="E2" s="2" t="s">
        <v>9</v>
      </c>
    </row>
    <row r="3" spans="1:13">
      <c r="A3" s="1">
        <v>3.7</v>
      </c>
      <c r="B3" s="1">
        <v>0.3063</v>
      </c>
      <c r="C3" s="1">
        <v>28.18</v>
      </c>
      <c r="D3" s="2">
        <f>((B3/$L$3))-0.00275945945945946</f>
        <v>0</v>
      </c>
      <c r="E3" s="2">
        <f t="shared" ref="E3:E29" si="0">C3/$L$4</f>
        <v>0.469666666666667</v>
      </c>
      <c r="K3" t="s">
        <v>10</v>
      </c>
      <c r="L3">
        <v>111</v>
      </c>
      <c r="M3" t="s">
        <v>11</v>
      </c>
    </row>
    <row r="4" spans="1:13">
      <c r="A4" s="1">
        <v>3.8</v>
      </c>
      <c r="B4" s="1">
        <v>0.3146</v>
      </c>
      <c r="C4" s="1">
        <v>32.21</v>
      </c>
      <c r="D4" s="2">
        <f t="shared" ref="D4:D67" si="1">((B4/$L$3))-0.00275945945945946</f>
        <v>7.4774774774774e-5</v>
      </c>
      <c r="E4" s="2">
        <f t="shared" si="0"/>
        <v>0.536833333333333</v>
      </c>
      <c r="K4" t="s">
        <v>12</v>
      </c>
      <c r="L4">
        <f>10*6</f>
        <v>60</v>
      </c>
      <c r="M4" t="s">
        <v>13</v>
      </c>
    </row>
    <row r="5" spans="1:13">
      <c r="A5" s="1">
        <v>3.9</v>
      </c>
      <c r="B5" s="1">
        <v>0.3229</v>
      </c>
      <c r="C5" s="1">
        <v>36.24</v>
      </c>
      <c r="D5" s="2">
        <f t="shared" si="1"/>
        <v>0.000149549549549549</v>
      </c>
      <c r="E5" s="2">
        <f t="shared" si="0"/>
        <v>0.604</v>
      </c>
    </row>
    <row r="6" spans="1:13">
      <c r="A6" s="1">
        <v>4</v>
      </c>
      <c r="B6" s="1">
        <v>0.3313</v>
      </c>
      <c r="C6" s="1">
        <v>40.26</v>
      </c>
      <c r="D6" s="2">
        <f t="shared" si="1"/>
        <v>0.000225225225225224</v>
      </c>
      <c r="E6" s="2">
        <f t="shared" si="0"/>
        <v>0.671</v>
      </c>
    </row>
    <row r="7" spans="1:13">
      <c r="A7" s="1">
        <v>4.1</v>
      </c>
      <c r="B7" s="1">
        <v>0.3396</v>
      </c>
      <c r="C7" s="1">
        <v>44.29</v>
      </c>
      <c r="D7" s="2">
        <f t="shared" si="1"/>
        <v>0.000299999999999999</v>
      </c>
      <c r="E7" s="2">
        <f t="shared" si="0"/>
        <v>0.738166666666667</v>
      </c>
    </row>
    <row r="8" spans="1:13">
      <c r="A8" s="1">
        <v>4.2</v>
      </c>
      <c r="B8" s="1">
        <v>0.3479</v>
      </c>
      <c r="C8" s="1">
        <v>48.32</v>
      </c>
      <c r="D8" s="2">
        <f t="shared" si="1"/>
        <v>0.000374774774774774</v>
      </c>
      <c r="E8" s="2">
        <f t="shared" si="0"/>
        <v>0.805333333333333</v>
      </c>
    </row>
    <row r="9" spans="1:13">
      <c r="A9" s="1">
        <v>4.3</v>
      </c>
      <c r="B9" s="1">
        <v>0.3562</v>
      </c>
      <c r="C9" s="1">
        <v>53.15</v>
      </c>
      <c r="D9" s="2">
        <f t="shared" si="1"/>
        <v>0.000449549549549549</v>
      </c>
      <c r="E9" s="2">
        <f t="shared" si="0"/>
        <v>0.885833333333333</v>
      </c>
    </row>
    <row r="10" spans="1:13">
      <c r="A10" s="1">
        <v>4.4</v>
      </c>
      <c r="B10" s="1">
        <v>0.3646</v>
      </c>
      <c r="C10" s="1">
        <v>57.17</v>
      </c>
      <c r="D10" s="2">
        <f t="shared" si="1"/>
        <v>0.000525225225225224</v>
      </c>
      <c r="E10" s="2">
        <f t="shared" si="0"/>
        <v>0.952833333333333</v>
      </c>
    </row>
    <row r="11" spans="1:13">
      <c r="A11" s="1">
        <v>4.5</v>
      </c>
      <c r="B11" s="1">
        <v>0.3729</v>
      </c>
      <c r="C11" s="1">
        <v>62.01</v>
      </c>
      <c r="D11" s="2">
        <f t="shared" si="1"/>
        <v>0.000599999999999999</v>
      </c>
      <c r="E11" s="2">
        <f t="shared" si="0"/>
        <v>1.0335</v>
      </c>
    </row>
    <row r="12" spans="1:13">
      <c r="A12" s="1">
        <v>4.6</v>
      </c>
      <c r="B12" s="1">
        <v>0.3813</v>
      </c>
      <c r="C12" s="1">
        <v>66.03</v>
      </c>
      <c r="D12" s="2">
        <f t="shared" si="1"/>
        <v>0.000675675675675675</v>
      </c>
      <c r="E12" s="2">
        <f t="shared" si="0"/>
        <v>1.1005</v>
      </c>
    </row>
    <row r="13" spans="1:13">
      <c r="A13" s="1">
        <v>4.7</v>
      </c>
      <c r="B13" s="1">
        <v>0.3896</v>
      </c>
      <c r="C13" s="1">
        <v>70.06</v>
      </c>
      <c r="D13" s="2">
        <f t="shared" si="1"/>
        <v>0.00075045045045045</v>
      </c>
      <c r="E13" s="2">
        <f t="shared" si="0"/>
        <v>1.16766666666667</v>
      </c>
    </row>
    <row r="14" spans="1:13">
      <c r="A14" s="1">
        <v>4.8</v>
      </c>
      <c r="B14" s="1">
        <v>0.3979</v>
      </c>
      <c r="C14" s="1">
        <v>74.09</v>
      </c>
      <c r="D14" s="2">
        <f t="shared" si="1"/>
        <v>0.000825225225225224</v>
      </c>
      <c r="E14" s="2">
        <f t="shared" si="0"/>
        <v>1.23483333333333</v>
      </c>
    </row>
    <row r="15" spans="1:13">
      <c r="A15" s="1">
        <v>4.9</v>
      </c>
      <c r="B15" s="1">
        <v>0.4063</v>
      </c>
      <c r="C15" s="1">
        <v>78.92</v>
      </c>
      <c r="D15" s="2">
        <f t="shared" si="1"/>
        <v>0.0009009009009009</v>
      </c>
      <c r="E15" s="2">
        <f t="shared" si="0"/>
        <v>1.31533333333333</v>
      </c>
    </row>
    <row r="16" spans="1:13">
      <c r="A16" s="1">
        <v>5</v>
      </c>
      <c r="B16" s="1">
        <v>0.4146</v>
      </c>
      <c r="C16" s="1">
        <v>82.95</v>
      </c>
      <c r="D16" s="2">
        <f t="shared" si="1"/>
        <v>0.000975675675675675</v>
      </c>
      <c r="E16" s="2">
        <f t="shared" si="0"/>
        <v>1.3825</v>
      </c>
    </row>
    <row r="17" spans="1:13">
      <c r="A17" s="1">
        <v>5.1</v>
      </c>
      <c r="B17" s="1">
        <v>0.4229</v>
      </c>
      <c r="C17" s="1">
        <v>86.97</v>
      </c>
      <c r="D17" s="2">
        <f t="shared" si="1"/>
        <v>0.00105045045045045</v>
      </c>
      <c r="E17" s="2">
        <f t="shared" si="0"/>
        <v>1.4495</v>
      </c>
    </row>
    <row r="18" spans="1:13">
      <c r="A18" s="1">
        <v>5.2</v>
      </c>
      <c r="B18" s="1">
        <v>0.4312</v>
      </c>
      <c r="C18" s="1">
        <v>91.81</v>
      </c>
      <c r="D18" s="2">
        <f t="shared" si="1"/>
        <v>0.00112522522522522</v>
      </c>
      <c r="E18" s="2">
        <f t="shared" si="0"/>
        <v>1.53016666666667</v>
      </c>
    </row>
    <row r="19" spans="1:13">
      <c r="A19" s="1">
        <v>5.3</v>
      </c>
      <c r="B19" s="1">
        <v>0.4396</v>
      </c>
      <c r="C19" s="1">
        <v>95.83</v>
      </c>
      <c r="D19" s="2">
        <f t="shared" si="1"/>
        <v>0.0012009009009009</v>
      </c>
      <c r="E19" s="2">
        <f t="shared" si="0"/>
        <v>1.59716666666667</v>
      </c>
    </row>
    <row r="20" spans="1:13">
      <c r="A20" s="1">
        <v>5.4</v>
      </c>
      <c r="B20" s="1">
        <v>0.4479</v>
      </c>
      <c r="C20" s="1">
        <v>99.86</v>
      </c>
      <c r="D20" s="2">
        <f t="shared" si="1"/>
        <v>0.00127567567567568</v>
      </c>
      <c r="E20" s="2">
        <f t="shared" si="0"/>
        <v>1.66433333333333</v>
      </c>
    </row>
    <row r="21" spans="1:13">
      <c r="A21" s="1">
        <v>5.5</v>
      </c>
      <c r="B21" s="1">
        <v>0.4563</v>
      </c>
      <c r="C21" s="1">
        <v>104.69</v>
      </c>
      <c r="D21" s="2">
        <f t="shared" si="1"/>
        <v>0.00135135135135135</v>
      </c>
      <c r="E21" s="2">
        <f t="shared" si="0"/>
        <v>1.74483333333333</v>
      </c>
    </row>
    <row r="22" spans="1:13">
      <c r="A22" s="1">
        <v>5.6</v>
      </c>
      <c r="B22" s="1">
        <v>0.4646</v>
      </c>
      <c r="C22" s="1">
        <v>108.72</v>
      </c>
      <c r="D22" s="2">
        <f t="shared" si="1"/>
        <v>0.00142612612612613</v>
      </c>
      <c r="E22" s="2">
        <f t="shared" si="0"/>
        <v>1.812</v>
      </c>
    </row>
    <row r="23" spans="1:13">
      <c r="A23" s="1">
        <v>5.7</v>
      </c>
      <c r="B23" s="1">
        <v>0.4729</v>
      </c>
      <c r="C23" s="1">
        <v>112.74</v>
      </c>
      <c r="D23" s="2">
        <f t="shared" si="1"/>
        <v>0.0015009009009009</v>
      </c>
      <c r="E23" s="2">
        <f t="shared" si="0"/>
        <v>1.879</v>
      </c>
    </row>
    <row r="24" spans="1:13">
      <c r="A24" s="1">
        <v>5.8</v>
      </c>
      <c r="B24" s="1">
        <v>0.4813</v>
      </c>
      <c r="C24" s="1">
        <v>117.58</v>
      </c>
      <c r="D24" s="2">
        <f t="shared" si="1"/>
        <v>0.00157657657657658</v>
      </c>
      <c r="E24" s="2">
        <f t="shared" si="0"/>
        <v>1.95966666666667</v>
      </c>
    </row>
    <row r="25" spans="1:13">
      <c r="A25" s="1">
        <v>5.9</v>
      </c>
      <c r="B25" s="1">
        <v>0.4896</v>
      </c>
      <c r="C25" s="1">
        <v>122.41</v>
      </c>
      <c r="D25" s="2">
        <f t="shared" si="1"/>
        <v>0.00165135135135135</v>
      </c>
      <c r="E25" s="2">
        <f t="shared" si="0"/>
        <v>2.04016666666667</v>
      </c>
    </row>
    <row r="26" spans="1:13">
      <c r="A26" s="1">
        <v>6</v>
      </c>
      <c r="B26" s="1">
        <v>0.4979</v>
      </c>
      <c r="C26" s="1">
        <v>126.44</v>
      </c>
      <c r="D26" s="2">
        <f t="shared" si="1"/>
        <v>0.00172612612612613</v>
      </c>
      <c r="E26" s="2">
        <f t="shared" si="0"/>
        <v>2.10733333333333</v>
      </c>
      <c r="J26" s="3" t="s">
        <v>14</v>
      </c>
      <c r="K26" s="3"/>
      <c r="L26" s="4">
        <f>MAX(E:E)</f>
        <v>9.42249966666667</v>
      </c>
      <c r="M26" s="3" t="s">
        <v>15</v>
      </c>
    </row>
    <row r="27" spans="1:13">
      <c r="A27" s="1">
        <v>6.1</v>
      </c>
      <c r="B27" s="1">
        <v>0.5062</v>
      </c>
      <c r="C27" s="1">
        <v>130.46001</v>
      </c>
      <c r="D27" s="2">
        <f t="shared" si="1"/>
        <v>0.0018009009009009</v>
      </c>
      <c r="E27" s="2">
        <f t="shared" si="0"/>
        <v>2.1743335</v>
      </c>
      <c r="J27" s="3" t="s">
        <v>16</v>
      </c>
      <c r="K27" s="3"/>
      <c r="L27" s="3">
        <v>0.0107351351351351</v>
      </c>
      <c r="M27" s="3" t="s">
        <v>17</v>
      </c>
    </row>
    <row r="28" spans="1:13">
      <c r="A28" s="1">
        <v>6.2</v>
      </c>
      <c r="B28" s="1">
        <v>0.5146</v>
      </c>
      <c r="C28" s="1">
        <v>135.28999</v>
      </c>
      <c r="D28" s="2">
        <f t="shared" si="1"/>
        <v>0.00187657657657658</v>
      </c>
      <c r="E28" s="2">
        <f t="shared" si="0"/>
        <v>2.25483316666667</v>
      </c>
    </row>
    <row r="29" spans="1:13">
      <c r="A29" s="1">
        <v>6.3</v>
      </c>
      <c r="B29" s="1">
        <v>0.5229</v>
      </c>
      <c r="C29" s="1">
        <v>139.32</v>
      </c>
      <c r="D29" s="2">
        <f t="shared" si="1"/>
        <v>0.00195135135135135</v>
      </c>
      <c r="E29" s="2">
        <f t="shared" si="0"/>
        <v>2.322</v>
      </c>
    </row>
    <row r="30" spans="1:13">
      <c r="A30" s="1">
        <v>6.4</v>
      </c>
      <c r="B30" s="1">
        <v>0.5313</v>
      </c>
      <c r="C30" s="1">
        <v>143.35</v>
      </c>
      <c r="D30" s="2">
        <f t="shared" si="1"/>
        <v>0.00202702702702703</v>
      </c>
      <c r="E30" s="2">
        <f t="shared" ref="E30:E93" si="2">C30/$L$4</f>
        <v>2.38916666666667</v>
      </c>
    </row>
    <row r="31" spans="1:13">
      <c r="A31" s="1">
        <v>6.5</v>
      </c>
      <c r="B31" s="1">
        <v>0.5396</v>
      </c>
      <c r="C31" s="1">
        <v>148.18001</v>
      </c>
      <c r="D31" s="2">
        <f t="shared" si="1"/>
        <v>0.0021018018018018</v>
      </c>
      <c r="E31" s="2">
        <f t="shared" si="2"/>
        <v>2.46966683333333</v>
      </c>
    </row>
    <row r="32" spans="1:13">
      <c r="A32" s="1">
        <v>6.6</v>
      </c>
      <c r="B32" s="1">
        <v>0.5479</v>
      </c>
      <c r="C32" s="1">
        <v>153.00999</v>
      </c>
      <c r="D32" s="2">
        <f t="shared" si="1"/>
        <v>0.00217657657657658</v>
      </c>
      <c r="E32" s="2">
        <f t="shared" si="2"/>
        <v>2.5501665</v>
      </c>
    </row>
    <row r="33" spans="1:5">
      <c r="A33" s="1">
        <v>6.7</v>
      </c>
      <c r="B33" s="1">
        <v>0.5563</v>
      </c>
      <c r="C33" s="1">
        <v>158.64999</v>
      </c>
      <c r="D33" s="2">
        <f t="shared" si="1"/>
        <v>0.00225225225225225</v>
      </c>
      <c r="E33" s="2">
        <f t="shared" si="2"/>
        <v>2.6441665</v>
      </c>
    </row>
    <row r="34" spans="1:5">
      <c r="A34" s="1">
        <v>6.8</v>
      </c>
      <c r="B34" s="1">
        <v>0.5646</v>
      </c>
      <c r="C34" s="1">
        <v>163.48</v>
      </c>
      <c r="D34" s="2">
        <f t="shared" si="1"/>
        <v>0.00232702702702703</v>
      </c>
      <c r="E34" s="2">
        <f t="shared" si="2"/>
        <v>2.72466666666667</v>
      </c>
    </row>
    <row r="35" spans="1:5">
      <c r="A35" s="1">
        <v>6.9</v>
      </c>
      <c r="B35" s="1">
        <v>0.5729</v>
      </c>
      <c r="C35" s="1">
        <v>168.31</v>
      </c>
      <c r="D35" s="2">
        <f t="shared" si="1"/>
        <v>0.0024018018018018</v>
      </c>
      <c r="E35" s="2">
        <f t="shared" si="2"/>
        <v>2.80516666666667</v>
      </c>
    </row>
    <row r="36" spans="1:5">
      <c r="A36" s="1">
        <v>7</v>
      </c>
      <c r="B36" s="1">
        <v>0.5812</v>
      </c>
      <c r="C36" s="1">
        <v>173.15</v>
      </c>
      <c r="D36" s="2">
        <f t="shared" si="1"/>
        <v>0.00247657657657658</v>
      </c>
      <c r="E36" s="2">
        <f t="shared" si="2"/>
        <v>2.88583333333333</v>
      </c>
    </row>
    <row r="37" spans="1:5">
      <c r="A37" s="1">
        <v>7.1</v>
      </c>
      <c r="B37" s="1">
        <v>0.5896</v>
      </c>
      <c r="C37" s="1">
        <v>177.98</v>
      </c>
      <c r="D37" s="2">
        <f t="shared" si="1"/>
        <v>0.00255225225225225</v>
      </c>
      <c r="E37" s="2">
        <f t="shared" si="2"/>
        <v>2.96633333333333</v>
      </c>
    </row>
    <row r="38" spans="1:5">
      <c r="A38" s="1">
        <v>7.2</v>
      </c>
      <c r="B38" s="1">
        <v>0.5979</v>
      </c>
      <c r="C38" s="1">
        <v>182.81001</v>
      </c>
      <c r="D38" s="2">
        <f t="shared" si="1"/>
        <v>0.00262702702702703</v>
      </c>
      <c r="E38" s="2">
        <f t="shared" si="2"/>
        <v>3.0468335</v>
      </c>
    </row>
    <row r="39" spans="1:5">
      <c r="A39" s="1">
        <v>7.3</v>
      </c>
      <c r="B39" s="1">
        <v>0.6063</v>
      </c>
      <c r="C39" s="1">
        <v>188.44999</v>
      </c>
      <c r="D39" s="2">
        <f t="shared" si="1"/>
        <v>0.0027027027027027</v>
      </c>
      <c r="E39" s="2">
        <f t="shared" si="2"/>
        <v>3.14083316666667</v>
      </c>
    </row>
    <row r="40" spans="1:5">
      <c r="A40" s="1">
        <v>7.4</v>
      </c>
      <c r="B40" s="1">
        <v>0.6146</v>
      </c>
      <c r="C40" s="1">
        <v>193.28</v>
      </c>
      <c r="D40" s="2">
        <f t="shared" si="1"/>
        <v>0.00277747747747748</v>
      </c>
      <c r="E40" s="2">
        <f t="shared" si="2"/>
        <v>3.22133333333333</v>
      </c>
    </row>
    <row r="41" spans="1:5">
      <c r="A41" s="1">
        <v>7.5</v>
      </c>
      <c r="B41" s="1">
        <v>0.6229</v>
      </c>
      <c r="C41" s="1">
        <v>198.11</v>
      </c>
      <c r="D41" s="2">
        <f t="shared" si="1"/>
        <v>0.00285225225225225</v>
      </c>
      <c r="E41" s="2">
        <f t="shared" si="2"/>
        <v>3.30183333333333</v>
      </c>
    </row>
    <row r="42" spans="1:5">
      <c r="A42" s="1">
        <v>7.6</v>
      </c>
      <c r="B42" s="1">
        <v>0.6313</v>
      </c>
      <c r="C42" s="1">
        <v>202.94</v>
      </c>
      <c r="D42" s="2">
        <f t="shared" si="1"/>
        <v>0.00292792792792793</v>
      </c>
      <c r="E42" s="2">
        <f t="shared" si="2"/>
        <v>3.38233333333333</v>
      </c>
    </row>
    <row r="43" spans="1:5">
      <c r="A43" s="1">
        <v>7.7</v>
      </c>
      <c r="B43" s="1">
        <v>0.6396</v>
      </c>
      <c r="C43" s="1">
        <v>207.78</v>
      </c>
      <c r="D43" s="2">
        <f t="shared" si="1"/>
        <v>0.0030027027027027</v>
      </c>
      <c r="E43" s="2">
        <f t="shared" si="2"/>
        <v>3.463</v>
      </c>
    </row>
    <row r="44" spans="1:5">
      <c r="A44" s="1">
        <v>7.8</v>
      </c>
      <c r="B44" s="1">
        <v>0.6479</v>
      </c>
      <c r="C44" s="1">
        <v>212.61001</v>
      </c>
      <c r="D44" s="2">
        <f t="shared" si="1"/>
        <v>0.00307747747747748</v>
      </c>
      <c r="E44" s="2">
        <f t="shared" si="2"/>
        <v>3.54350016666667</v>
      </c>
    </row>
    <row r="45" spans="1:5">
      <c r="A45" s="1">
        <v>7.9</v>
      </c>
      <c r="B45" s="1">
        <v>0.6562</v>
      </c>
      <c r="C45" s="1">
        <v>218.25001</v>
      </c>
      <c r="D45" s="2">
        <f t="shared" si="1"/>
        <v>0.00315225225225225</v>
      </c>
      <c r="E45" s="2">
        <f t="shared" si="2"/>
        <v>3.63750016666667</v>
      </c>
    </row>
    <row r="46" spans="1:5">
      <c r="A46" s="1">
        <v>8</v>
      </c>
      <c r="B46" s="1">
        <v>0.6646</v>
      </c>
      <c r="C46" s="1">
        <v>222.27</v>
      </c>
      <c r="D46" s="2">
        <f t="shared" si="1"/>
        <v>0.00322792792792793</v>
      </c>
      <c r="E46" s="2">
        <f t="shared" si="2"/>
        <v>3.7045</v>
      </c>
    </row>
    <row r="47" spans="1:5">
      <c r="A47" s="1">
        <v>8.1</v>
      </c>
      <c r="B47" s="1">
        <v>0.6729</v>
      </c>
      <c r="C47" s="1">
        <v>227.1</v>
      </c>
      <c r="D47" s="2">
        <f t="shared" si="1"/>
        <v>0.0033027027027027</v>
      </c>
      <c r="E47" s="2">
        <f t="shared" si="2"/>
        <v>3.785</v>
      </c>
    </row>
    <row r="48" spans="1:5">
      <c r="A48" s="1">
        <v>8.2</v>
      </c>
      <c r="B48" s="1">
        <v>0.6813</v>
      </c>
      <c r="C48" s="1">
        <v>231.94</v>
      </c>
      <c r="D48" s="2">
        <f t="shared" si="1"/>
        <v>0.00337837837837838</v>
      </c>
      <c r="E48" s="2">
        <f t="shared" si="2"/>
        <v>3.86566666666667</v>
      </c>
    </row>
    <row r="49" spans="1:5">
      <c r="A49" s="1">
        <v>8.3</v>
      </c>
      <c r="B49" s="1">
        <v>0.6896</v>
      </c>
      <c r="C49" s="1">
        <v>236.76999</v>
      </c>
      <c r="D49" s="2">
        <f t="shared" si="1"/>
        <v>0.00345315315315315</v>
      </c>
      <c r="E49" s="2">
        <f t="shared" si="2"/>
        <v>3.9461665</v>
      </c>
    </row>
    <row r="50" spans="1:5">
      <c r="A50" s="1">
        <v>8.4</v>
      </c>
      <c r="B50" s="1">
        <v>0.6979</v>
      </c>
      <c r="C50" s="1">
        <v>241.6</v>
      </c>
      <c r="D50" s="2">
        <f t="shared" si="1"/>
        <v>0.00352792792792793</v>
      </c>
      <c r="E50" s="2">
        <f t="shared" si="2"/>
        <v>4.02666666666667</v>
      </c>
    </row>
    <row r="51" spans="1:5">
      <c r="A51" s="1">
        <v>8.5</v>
      </c>
      <c r="B51" s="1">
        <v>0.7063</v>
      </c>
      <c r="C51" s="1">
        <v>246.42999</v>
      </c>
      <c r="D51" s="2">
        <f t="shared" si="1"/>
        <v>0.0036036036036036</v>
      </c>
      <c r="E51" s="2">
        <f t="shared" si="2"/>
        <v>4.1071665</v>
      </c>
    </row>
    <row r="52" spans="1:5">
      <c r="A52" s="1">
        <v>8.6</v>
      </c>
      <c r="B52" s="1">
        <v>0.7146</v>
      </c>
      <c r="C52" s="1">
        <v>250.46001</v>
      </c>
      <c r="D52" s="2">
        <f t="shared" si="1"/>
        <v>0.00367837837837838</v>
      </c>
      <c r="E52" s="2">
        <f t="shared" si="2"/>
        <v>4.1743335</v>
      </c>
    </row>
    <row r="53" spans="1:5">
      <c r="A53" s="1">
        <v>8.7</v>
      </c>
      <c r="B53" s="1">
        <v>0.7229</v>
      </c>
      <c r="C53" s="1">
        <v>255.29</v>
      </c>
      <c r="D53" s="2">
        <f t="shared" si="1"/>
        <v>0.00375315315315315</v>
      </c>
      <c r="E53" s="2">
        <f t="shared" si="2"/>
        <v>4.25483333333333</v>
      </c>
    </row>
    <row r="54" spans="1:5">
      <c r="A54" s="1">
        <v>8.8</v>
      </c>
      <c r="B54" s="1">
        <v>0.7312</v>
      </c>
      <c r="C54" s="1">
        <v>260.11999</v>
      </c>
      <c r="D54" s="2">
        <f t="shared" si="1"/>
        <v>0.00382792792792793</v>
      </c>
      <c r="E54" s="2">
        <f t="shared" si="2"/>
        <v>4.33533316666667</v>
      </c>
    </row>
    <row r="55" spans="1:5">
      <c r="A55" s="1">
        <v>8.9</v>
      </c>
      <c r="B55" s="1">
        <v>0.7396</v>
      </c>
      <c r="C55" s="1">
        <v>264.96001</v>
      </c>
      <c r="D55" s="2">
        <f t="shared" si="1"/>
        <v>0.0039036036036036</v>
      </c>
      <c r="E55" s="2">
        <f t="shared" si="2"/>
        <v>4.41600016666667</v>
      </c>
    </row>
    <row r="56" spans="1:5">
      <c r="A56" s="1">
        <v>9</v>
      </c>
      <c r="B56" s="1">
        <v>0.7479</v>
      </c>
      <c r="C56" s="1">
        <v>269.78999</v>
      </c>
      <c r="D56" s="2">
        <f t="shared" si="1"/>
        <v>0.00397837837837838</v>
      </c>
      <c r="E56" s="2">
        <f t="shared" si="2"/>
        <v>4.49649983333333</v>
      </c>
    </row>
    <row r="57" spans="1:5">
      <c r="A57" s="1">
        <v>9.1</v>
      </c>
      <c r="B57" s="1">
        <v>0.7563</v>
      </c>
      <c r="C57" s="1">
        <v>273.81001</v>
      </c>
      <c r="D57" s="2">
        <f t="shared" si="1"/>
        <v>0.00405405405405405</v>
      </c>
      <c r="E57" s="2">
        <f t="shared" si="2"/>
        <v>4.56350016666667</v>
      </c>
    </row>
    <row r="58" spans="1:5">
      <c r="A58" s="1">
        <v>9.2</v>
      </c>
      <c r="B58" s="1">
        <v>0.7646</v>
      </c>
      <c r="C58" s="1">
        <v>278.65</v>
      </c>
      <c r="D58" s="2">
        <f t="shared" si="1"/>
        <v>0.00412882882882883</v>
      </c>
      <c r="E58" s="2">
        <f t="shared" si="2"/>
        <v>4.64416666666667</v>
      </c>
    </row>
    <row r="59" spans="1:5">
      <c r="A59" s="1">
        <v>9.3</v>
      </c>
      <c r="B59" s="1">
        <v>0.7729</v>
      </c>
      <c r="C59" s="1">
        <v>283.47999</v>
      </c>
      <c r="D59" s="2">
        <f t="shared" si="1"/>
        <v>0.0042036036036036</v>
      </c>
      <c r="E59" s="2">
        <f t="shared" si="2"/>
        <v>4.7246665</v>
      </c>
    </row>
    <row r="60" spans="1:5">
      <c r="A60" s="1">
        <v>9.4</v>
      </c>
      <c r="B60" s="1">
        <v>0.7813</v>
      </c>
      <c r="C60" s="1">
        <v>287.51001</v>
      </c>
      <c r="D60" s="2">
        <f t="shared" si="1"/>
        <v>0.00427927927927928</v>
      </c>
      <c r="E60" s="2">
        <f t="shared" si="2"/>
        <v>4.7918335</v>
      </c>
    </row>
    <row r="61" spans="1:5">
      <c r="A61" s="1">
        <v>9.5</v>
      </c>
      <c r="B61" s="1">
        <v>0.7896</v>
      </c>
      <c r="C61" s="1">
        <v>293.13999</v>
      </c>
      <c r="D61" s="2">
        <f t="shared" si="1"/>
        <v>0.00435405405405405</v>
      </c>
      <c r="E61" s="2">
        <f t="shared" si="2"/>
        <v>4.8856665</v>
      </c>
    </row>
    <row r="62" spans="1:5">
      <c r="A62" s="1">
        <v>9.6</v>
      </c>
      <c r="B62" s="1">
        <v>0.7979</v>
      </c>
      <c r="C62" s="1">
        <v>297.17001</v>
      </c>
      <c r="D62" s="2">
        <f t="shared" si="1"/>
        <v>0.00442882882882883</v>
      </c>
      <c r="E62" s="2">
        <f t="shared" si="2"/>
        <v>4.9528335</v>
      </c>
    </row>
    <row r="63" spans="1:5">
      <c r="A63" s="1">
        <v>9.7</v>
      </c>
      <c r="B63" s="1">
        <v>0.8062</v>
      </c>
      <c r="C63" s="1">
        <v>302</v>
      </c>
      <c r="D63" s="2">
        <f t="shared" si="1"/>
        <v>0.0045036036036036</v>
      </c>
      <c r="E63" s="2">
        <f t="shared" si="2"/>
        <v>5.03333333333333</v>
      </c>
    </row>
    <row r="64" spans="1:5">
      <c r="A64" s="1">
        <v>9.8</v>
      </c>
      <c r="B64" s="1">
        <v>0.8146</v>
      </c>
      <c r="C64" s="1">
        <v>306.02999</v>
      </c>
      <c r="D64" s="2">
        <f t="shared" si="1"/>
        <v>0.00457927927927928</v>
      </c>
      <c r="E64" s="2">
        <f t="shared" si="2"/>
        <v>5.10049983333333</v>
      </c>
    </row>
    <row r="65" spans="1:5">
      <c r="A65" s="1">
        <v>9.9</v>
      </c>
      <c r="B65" s="1">
        <v>0.8229</v>
      </c>
      <c r="C65" s="1">
        <v>310.86001</v>
      </c>
      <c r="D65" s="2">
        <f t="shared" si="1"/>
        <v>0.00465405405405405</v>
      </c>
      <c r="E65" s="2">
        <f t="shared" si="2"/>
        <v>5.18100016666667</v>
      </c>
    </row>
    <row r="66" spans="1:5">
      <c r="A66" s="1">
        <v>10</v>
      </c>
      <c r="B66" s="1">
        <v>0.8312</v>
      </c>
      <c r="C66" s="1">
        <v>314.89</v>
      </c>
      <c r="D66" s="2">
        <f t="shared" si="1"/>
        <v>0.00472882882882883</v>
      </c>
      <c r="E66" s="2">
        <f t="shared" si="2"/>
        <v>5.24816666666667</v>
      </c>
    </row>
    <row r="67" spans="1:5">
      <c r="A67" s="1">
        <v>10.1</v>
      </c>
      <c r="B67" s="1">
        <v>0.8396</v>
      </c>
      <c r="C67" s="1">
        <v>319.72001</v>
      </c>
      <c r="D67" s="2">
        <f t="shared" si="1"/>
        <v>0.0048045045045045</v>
      </c>
      <c r="E67" s="2">
        <f t="shared" si="2"/>
        <v>5.32866683333333</v>
      </c>
    </row>
    <row r="68" spans="1:5">
      <c r="A68" s="1">
        <v>10.2</v>
      </c>
      <c r="B68" s="1">
        <v>0.8479</v>
      </c>
      <c r="C68" s="1">
        <v>324.55</v>
      </c>
      <c r="D68" s="2">
        <f t="shared" ref="D68:D131" si="3">((B68/$L$3))-0.00275945945945946</f>
        <v>0.00487927927927928</v>
      </c>
      <c r="E68" s="2">
        <f t="shared" si="2"/>
        <v>5.40916666666667</v>
      </c>
    </row>
    <row r="69" spans="1:5">
      <c r="A69" s="1">
        <v>10.3</v>
      </c>
      <c r="B69" s="1">
        <v>0.8563</v>
      </c>
      <c r="C69" s="1">
        <v>328.57999</v>
      </c>
      <c r="D69" s="2">
        <f t="shared" si="3"/>
        <v>0.00495495495495495</v>
      </c>
      <c r="E69" s="2">
        <f t="shared" si="2"/>
        <v>5.47633316666667</v>
      </c>
    </row>
    <row r="70" spans="1:5">
      <c r="A70" s="1">
        <v>10.4</v>
      </c>
      <c r="B70" s="1">
        <v>0.8646</v>
      </c>
      <c r="C70" s="1">
        <v>332.61001</v>
      </c>
      <c r="D70" s="2">
        <f t="shared" si="3"/>
        <v>0.00502972972972973</v>
      </c>
      <c r="E70" s="2">
        <f t="shared" si="2"/>
        <v>5.54350016666667</v>
      </c>
    </row>
    <row r="71" spans="1:5">
      <c r="A71" s="1">
        <v>10.5</v>
      </c>
      <c r="B71" s="1">
        <v>0.8729</v>
      </c>
      <c r="C71" s="1">
        <v>337.44</v>
      </c>
      <c r="D71" s="2">
        <f t="shared" si="3"/>
        <v>0.0051045045045045</v>
      </c>
      <c r="E71" s="2">
        <f t="shared" si="2"/>
        <v>5.624</v>
      </c>
    </row>
    <row r="72" spans="1:5">
      <c r="A72" s="1">
        <v>10.6</v>
      </c>
      <c r="B72" s="1">
        <v>0.8812</v>
      </c>
      <c r="C72" s="1">
        <v>341.45999</v>
      </c>
      <c r="D72" s="2">
        <f t="shared" si="3"/>
        <v>0.00517927927927928</v>
      </c>
      <c r="E72" s="2">
        <f t="shared" si="2"/>
        <v>5.69099983333333</v>
      </c>
    </row>
    <row r="73" spans="1:5">
      <c r="A73" s="1">
        <v>10.7</v>
      </c>
      <c r="B73" s="1">
        <v>0.8896</v>
      </c>
      <c r="C73" s="1">
        <v>346.30001</v>
      </c>
      <c r="D73" s="2">
        <f t="shared" si="3"/>
        <v>0.00525495495495495</v>
      </c>
      <c r="E73" s="2">
        <f t="shared" si="2"/>
        <v>5.77166683333333</v>
      </c>
    </row>
    <row r="74" spans="1:5">
      <c r="A74" s="1">
        <v>10.8</v>
      </c>
      <c r="B74" s="1">
        <v>0.8979</v>
      </c>
      <c r="C74" s="1">
        <v>350.31999</v>
      </c>
      <c r="D74" s="2">
        <f t="shared" si="3"/>
        <v>0.00532972972972973</v>
      </c>
      <c r="E74" s="2">
        <f t="shared" si="2"/>
        <v>5.8386665</v>
      </c>
    </row>
    <row r="75" spans="1:5">
      <c r="A75" s="1">
        <v>10.9</v>
      </c>
      <c r="B75" s="1">
        <v>0.9062</v>
      </c>
      <c r="C75" s="1">
        <v>355.16001</v>
      </c>
      <c r="D75" s="2">
        <f t="shared" si="3"/>
        <v>0.0054045045045045</v>
      </c>
      <c r="E75" s="2">
        <f t="shared" si="2"/>
        <v>5.9193335</v>
      </c>
    </row>
    <row r="76" spans="1:5">
      <c r="A76" s="1">
        <v>11</v>
      </c>
      <c r="B76" s="1">
        <v>0.9146</v>
      </c>
      <c r="C76" s="1">
        <v>358.38</v>
      </c>
      <c r="D76" s="2">
        <f t="shared" si="3"/>
        <v>0.00548018018018018</v>
      </c>
      <c r="E76" s="2">
        <f t="shared" si="2"/>
        <v>5.973</v>
      </c>
    </row>
    <row r="77" spans="1:5">
      <c r="A77" s="1">
        <v>11.1</v>
      </c>
      <c r="B77" s="1">
        <v>0.9229</v>
      </c>
      <c r="C77" s="1">
        <v>363.20999</v>
      </c>
      <c r="D77" s="2">
        <f t="shared" si="3"/>
        <v>0.00555495495495495</v>
      </c>
      <c r="E77" s="2">
        <f t="shared" si="2"/>
        <v>6.05349983333333</v>
      </c>
    </row>
    <row r="78" spans="1:5">
      <c r="A78" s="1">
        <v>11.2</v>
      </c>
      <c r="B78" s="1">
        <v>0.9313</v>
      </c>
      <c r="C78" s="1">
        <v>367.24001</v>
      </c>
      <c r="D78" s="2">
        <f t="shared" si="3"/>
        <v>0.00563063063063063</v>
      </c>
      <c r="E78" s="2">
        <f t="shared" si="2"/>
        <v>6.12066683333333</v>
      </c>
    </row>
    <row r="79" spans="1:5">
      <c r="A79" s="1">
        <v>11.3</v>
      </c>
      <c r="B79" s="1">
        <v>0.9396</v>
      </c>
      <c r="C79" s="1">
        <v>371.26</v>
      </c>
      <c r="D79" s="2">
        <f t="shared" si="3"/>
        <v>0.0057054054054054</v>
      </c>
      <c r="E79" s="2">
        <f t="shared" si="2"/>
        <v>6.18766666666667</v>
      </c>
    </row>
    <row r="80" spans="1:5">
      <c r="A80" s="1">
        <v>11.4</v>
      </c>
      <c r="B80" s="1">
        <v>0.9479</v>
      </c>
      <c r="C80" s="1">
        <v>376.08999</v>
      </c>
      <c r="D80" s="2">
        <f t="shared" si="3"/>
        <v>0.00578018018018018</v>
      </c>
      <c r="E80" s="2">
        <f t="shared" si="2"/>
        <v>6.2681665</v>
      </c>
    </row>
    <row r="81" spans="1:5">
      <c r="A81" s="1">
        <v>11.5</v>
      </c>
      <c r="B81" s="1">
        <v>0.9562</v>
      </c>
      <c r="C81" s="1">
        <v>380.12001</v>
      </c>
      <c r="D81" s="2">
        <f t="shared" si="3"/>
        <v>0.00585495495495495</v>
      </c>
      <c r="E81" s="2">
        <f t="shared" si="2"/>
        <v>6.3353335</v>
      </c>
    </row>
    <row r="82" spans="1:5">
      <c r="A82" s="1">
        <v>11.6</v>
      </c>
      <c r="B82" s="1">
        <v>0.9646</v>
      </c>
      <c r="C82" s="1">
        <v>383.34</v>
      </c>
      <c r="D82" s="2">
        <f t="shared" si="3"/>
        <v>0.00593063063063063</v>
      </c>
      <c r="E82" s="2">
        <f t="shared" si="2"/>
        <v>6.389</v>
      </c>
    </row>
    <row r="83" spans="1:5">
      <c r="A83" s="1">
        <v>11.7</v>
      </c>
      <c r="B83" s="1">
        <v>0.9729</v>
      </c>
      <c r="C83" s="1">
        <v>388.16999</v>
      </c>
      <c r="D83" s="2">
        <f t="shared" si="3"/>
        <v>0.0060054054054054</v>
      </c>
      <c r="E83" s="2">
        <f t="shared" si="2"/>
        <v>6.46949983333333</v>
      </c>
    </row>
    <row r="84" spans="1:5">
      <c r="A84" s="1">
        <v>11.8</v>
      </c>
      <c r="B84" s="1">
        <v>0.9812</v>
      </c>
      <c r="C84" s="1">
        <v>392.20001</v>
      </c>
      <c r="D84" s="2">
        <f t="shared" si="3"/>
        <v>0.00608018018018018</v>
      </c>
      <c r="E84" s="2">
        <f t="shared" si="2"/>
        <v>6.53666683333333</v>
      </c>
    </row>
    <row r="85" spans="1:5">
      <c r="A85" s="1">
        <v>11.9</v>
      </c>
      <c r="B85" s="1">
        <v>0.9895</v>
      </c>
      <c r="C85" s="1">
        <v>396.23</v>
      </c>
      <c r="D85" s="2">
        <f t="shared" si="3"/>
        <v>0.00615495495495495</v>
      </c>
      <c r="E85" s="2">
        <f t="shared" si="2"/>
        <v>6.60383333333333</v>
      </c>
    </row>
    <row r="86" spans="1:5">
      <c r="A86" s="1">
        <v>12</v>
      </c>
      <c r="B86" s="1">
        <v>0.9979</v>
      </c>
      <c r="C86" s="1">
        <v>400.25001</v>
      </c>
      <c r="D86" s="2">
        <f t="shared" si="3"/>
        <v>0.00623063063063063</v>
      </c>
      <c r="E86" s="2">
        <f t="shared" si="2"/>
        <v>6.6708335</v>
      </c>
    </row>
    <row r="87" spans="1:5">
      <c r="A87" s="1">
        <v>12.1</v>
      </c>
      <c r="B87" s="1">
        <v>1.0063</v>
      </c>
      <c r="C87" s="1">
        <v>404.28001</v>
      </c>
      <c r="D87" s="2">
        <f t="shared" si="3"/>
        <v>0.0063063063063063</v>
      </c>
      <c r="E87" s="2">
        <f t="shared" si="2"/>
        <v>6.73800016666667</v>
      </c>
    </row>
    <row r="88" spans="1:5">
      <c r="A88" s="1">
        <v>12.2</v>
      </c>
      <c r="B88" s="1">
        <v>1.0146</v>
      </c>
      <c r="C88" s="1">
        <v>408.31</v>
      </c>
      <c r="D88" s="2">
        <f t="shared" si="3"/>
        <v>0.00638108108108108</v>
      </c>
      <c r="E88" s="2">
        <f t="shared" si="2"/>
        <v>6.80516666666667</v>
      </c>
    </row>
    <row r="89" spans="1:5">
      <c r="A89" s="1">
        <v>12.3</v>
      </c>
      <c r="B89" s="1">
        <v>1.0229</v>
      </c>
      <c r="C89" s="1">
        <v>412.33999</v>
      </c>
      <c r="D89" s="2">
        <f t="shared" si="3"/>
        <v>0.00645585585585585</v>
      </c>
      <c r="E89" s="2">
        <f t="shared" si="2"/>
        <v>6.87233316666667</v>
      </c>
    </row>
    <row r="90" spans="1:5">
      <c r="A90" s="1">
        <v>12.4</v>
      </c>
      <c r="B90" s="1">
        <v>1.0312</v>
      </c>
      <c r="C90" s="1">
        <v>415.56001</v>
      </c>
      <c r="D90" s="2">
        <f t="shared" si="3"/>
        <v>0.00653063063063063</v>
      </c>
      <c r="E90" s="2">
        <f t="shared" si="2"/>
        <v>6.92600016666667</v>
      </c>
    </row>
    <row r="91" spans="1:5">
      <c r="A91" s="1">
        <v>12.5</v>
      </c>
      <c r="B91" s="1">
        <v>1.0396</v>
      </c>
      <c r="C91" s="1">
        <v>419.58</v>
      </c>
      <c r="D91" s="2">
        <f t="shared" si="3"/>
        <v>0.00660630630630631</v>
      </c>
      <c r="E91" s="2">
        <f t="shared" si="2"/>
        <v>6.993</v>
      </c>
    </row>
    <row r="92" spans="1:5">
      <c r="A92" s="1">
        <v>12.6</v>
      </c>
      <c r="B92" s="1">
        <v>1.0479</v>
      </c>
      <c r="C92" s="1">
        <v>423.60999</v>
      </c>
      <c r="D92" s="2">
        <f t="shared" si="3"/>
        <v>0.00668108108108108</v>
      </c>
      <c r="E92" s="2">
        <f t="shared" si="2"/>
        <v>7.0601665</v>
      </c>
    </row>
    <row r="93" spans="1:5">
      <c r="A93" s="1">
        <v>12.7</v>
      </c>
      <c r="B93" s="1">
        <v>1.0562</v>
      </c>
      <c r="C93" s="1">
        <v>427.64001</v>
      </c>
      <c r="D93" s="2">
        <f t="shared" si="3"/>
        <v>0.00675585585585585</v>
      </c>
      <c r="E93" s="2">
        <f t="shared" si="2"/>
        <v>7.1273335</v>
      </c>
    </row>
    <row r="94" spans="1:5">
      <c r="A94" s="1">
        <v>12.8</v>
      </c>
      <c r="B94" s="1">
        <v>1.0645</v>
      </c>
      <c r="C94" s="1">
        <v>430.86</v>
      </c>
      <c r="D94" s="2">
        <f t="shared" si="3"/>
        <v>0.00683063063063063</v>
      </c>
      <c r="E94" s="2">
        <f t="shared" ref="E94:E156" si="4">C94/$L$4</f>
        <v>7.181</v>
      </c>
    </row>
    <row r="95" spans="1:5">
      <c r="A95" s="1">
        <v>12.9</v>
      </c>
      <c r="B95" s="1">
        <v>1.0729</v>
      </c>
      <c r="C95" s="1">
        <v>434.88999</v>
      </c>
      <c r="D95" s="2">
        <f t="shared" si="3"/>
        <v>0.0069063063063063</v>
      </c>
      <c r="E95" s="2">
        <f t="shared" si="4"/>
        <v>7.2481665</v>
      </c>
    </row>
    <row r="96" spans="1:5">
      <c r="A96" s="1">
        <v>13</v>
      </c>
      <c r="B96" s="1">
        <v>1.0813</v>
      </c>
      <c r="C96" s="1">
        <v>438.11001</v>
      </c>
      <c r="D96" s="2">
        <f t="shared" si="3"/>
        <v>0.00698198198198198</v>
      </c>
      <c r="E96" s="2">
        <f t="shared" si="4"/>
        <v>7.3018335</v>
      </c>
    </row>
    <row r="97" spans="1:5">
      <c r="A97" s="1">
        <v>13.1</v>
      </c>
      <c r="B97" s="1">
        <v>1.0896</v>
      </c>
      <c r="C97" s="1">
        <v>442.13</v>
      </c>
      <c r="D97" s="2">
        <f t="shared" si="3"/>
        <v>0.00705675675675676</v>
      </c>
      <c r="E97" s="2">
        <f t="shared" si="4"/>
        <v>7.36883333333333</v>
      </c>
    </row>
    <row r="98" spans="1:5">
      <c r="A98" s="1">
        <v>13.2</v>
      </c>
      <c r="B98" s="1">
        <v>1.0979</v>
      </c>
      <c r="C98" s="1">
        <v>446.15999</v>
      </c>
      <c r="D98" s="2">
        <f t="shared" si="3"/>
        <v>0.00713153153153153</v>
      </c>
      <c r="E98" s="2">
        <f t="shared" si="4"/>
        <v>7.43599983333333</v>
      </c>
    </row>
    <row r="99" spans="1:5">
      <c r="A99" s="1">
        <v>13.3</v>
      </c>
      <c r="B99" s="1">
        <v>1.1062</v>
      </c>
      <c r="C99" s="1">
        <v>449.38001</v>
      </c>
      <c r="D99" s="2">
        <f t="shared" si="3"/>
        <v>0.00720630630630631</v>
      </c>
      <c r="E99" s="2">
        <f t="shared" si="4"/>
        <v>7.48966683333333</v>
      </c>
    </row>
    <row r="100" spans="1:5">
      <c r="A100" s="1">
        <v>13.4</v>
      </c>
      <c r="B100" s="1">
        <v>1.1146</v>
      </c>
      <c r="C100" s="1">
        <v>453.41</v>
      </c>
      <c r="D100" s="2">
        <f t="shared" si="3"/>
        <v>0.00728198198198198</v>
      </c>
      <c r="E100" s="2">
        <f t="shared" si="4"/>
        <v>7.55683333333333</v>
      </c>
    </row>
    <row r="101" spans="1:5">
      <c r="A101" s="1">
        <v>13.5</v>
      </c>
      <c r="B101" s="1">
        <v>1.1229</v>
      </c>
      <c r="C101" s="1">
        <v>456.62999</v>
      </c>
      <c r="D101" s="2">
        <f t="shared" si="3"/>
        <v>0.00735675675675676</v>
      </c>
      <c r="E101" s="2">
        <f t="shared" si="4"/>
        <v>7.61049983333333</v>
      </c>
    </row>
    <row r="102" spans="1:5">
      <c r="A102" s="1">
        <v>13.6</v>
      </c>
      <c r="B102" s="1">
        <v>1.1312</v>
      </c>
      <c r="C102" s="1">
        <v>459.85001</v>
      </c>
      <c r="D102" s="2">
        <f t="shared" si="3"/>
        <v>0.00743153153153153</v>
      </c>
      <c r="E102" s="2">
        <f t="shared" si="4"/>
        <v>7.66416683333333</v>
      </c>
    </row>
    <row r="103" spans="1:5">
      <c r="A103" s="1">
        <v>13.7</v>
      </c>
      <c r="B103" s="1">
        <v>1.1395</v>
      </c>
      <c r="C103" s="1">
        <v>463.07</v>
      </c>
      <c r="D103" s="2">
        <f t="shared" si="3"/>
        <v>0.0075063063063063</v>
      </c>
      <c r="E103" s="2">
        <f t="shared" si="4"/>
        <v>7.71783333333333</v>
      </c>
    </row>
    <row r="104" spans="1:5">
      <c r="A104" s="1">
        <v>13.8</v>
      </c>
      <c r="B104" s="1">
        <v>1.1479</v>
      </c>
      <c r="C104" s="1">
        <v>467.09999</v>
      </c>
      <c r="D104" s="2">
        <f t="shared" si="3"/>
        <v>0.00758198198198198</v>
      </c>
      <c r="E104" s="2">
        <f t="shared" si="4"/>
        <v>7.78499983333333</v>
      </c>
    </row>
    <row r="105" spans="1:5">
      <c r="A105" s="1">
        <v>13.9</v>
      </c>
      <c r="B105" s="1">
        <v>1.1563</v>
      </c>
      <c r="C105" s="1">
        <v>470.31999</v>
      </c>
      <c r="D105" s="2">
        <f t="shared" si="3"/>
        <v>0.00765765765765766</v>
      </c>
      <c r="E105" s="2">
        <f t="shared" si="4"/>
        <v>7.8386665</v>
      </c>
    </row>
    <row r="106" spans="1:5">
      <c r="A106" s="1">
        <v>14</v>
      </c>
      <c r="B106" s="1">
        <v>1.1646</v>
      </c>
      <c r="C106" s="1">
        <v>473.53998</v>
      </c>
      <c r="D106" s="2">
        <f t="shared" si="3"/>
        <v>0.00773243243243243</v>
      </c>
      <c r="E106" s="2">
        <f t="shared" si="4"/>
        <v>7.892333</v>
      </c>
    </row>
    <row r="107" spans="1:5">
      <c r="A107" s="1">
        <v>14.1</v>
      </c>
      <c r="B107" s="1">
        <v>1.1729</v>
      </c>
      <c r="C107" s="1">
        <v>476.76003</v>
      </c>
      <c r="D107" s="2">
        <f t="shared" si="3"/>
        <v>0.00780720720720721</v>
      </c>
      <c r="E107" s="2">
        <f t="shared" si="4"/>
        <v>7.9460005</v>
      </c>
    </row>
    <row r="108" spans="1:5">
      <c r="A108" s="1">
        <v>14.2</v>
      </c>
      <c r="B108" s="1">
        <v>1.1812</v>
      </c>
      <c r="C108" s="1">
        <v>480.78999</v>
      </c>
      <c r="D108" s="2">
        <f t="shared" si="3"/>
        <v>0.00788198198198198</v>
      </c>
      <c r="E108" s="2">
        <f t="shared" si="4"/>
        <v>8.0131665</v>
      </c>
    </row>
    <row r="109" spans="1:5">
      <c r="A109" s="1">
        <v>14.3</v>
      </c>
      <c r="B109" s="1">
        <v>1.1896</v>
      </c>
      <c r="C109" s="1">
        <v>483.21001</v>
      </c>
      <c r="D109" s="2">
        <f t="shared" si="3"/>
        <v>0.00795765765765766</v>
      </c>
      <c r="E109" s="2">
        <f t="shared" si="4"/>
        <v>8.05350016666667</v>
      </c>
    </row>
    <row r="110" spans="1:5">
      <c r="A110" s="1">
        <v>14.4</v>
      </c>
      <c r="B110" s="1">
        <v>1.1979</v>
      </c>
      <c r="C110" s="1">
        <v>487.22997</v>
      </c>
      <c r="D110" s="2">
        <f t="shared" si="3"/>
        <v>0.00803243243243243</v>
      </c>
      <c r="E110" s="2">
        <f t="shared" si="4"/>
        <v>8.1204995</v>
      </c>
    </row>
    <row r="111" spans="1:5">
      <c r="A111" s="1">
        <v>14.5</v>
      </c>
      <c r="B111" s="1">
        <v>1.2062</v>
      </c>
      <c r="C111" s="1">
        <v>489.65</v>
      </c>
      <c r="D111" s="2">
        <f t="shared" si="3"/>
        <v>0.00810720720720721</v>
      </c>
      <c r="E111" s="2">
        <f t="shared" si="4"/>
        <v>8.16083333333333</v>
      </c>
    </row>
    <row r="112" spans="1:5">
      <c r="A112" s="1">
        <v>14.6</v>
      </c>
      <c r="B112" s="1">
        <v>1.2145</v>
      </c>
      <c r="C112" s="1">
        <v>493.68002</v>
      </c>
      <c r="D112" s="2">
        <f t="shared" si="3"/>
        <v>0.00818198198198198</v>
      </c>
      <c r="E112" s="2">
        <f t="shared" si="4"/>
        <v>8.22800033333333</v>
      </c>
    </row>
    <row r="113" spans="1:5">
      <c r="A113" s="1">
        <v>14.7</v>
      </c>
      <c r="B113" s="1">
        <v>1.2229</v>
      </c>
      <c r="C113" s="1">
        <v>496.08998</v>
      </c>
      <c r="D113" s="2">
        <f t="shared" si="3"/>
        <v>0.00825765765765766</v>
      </c>
      <c r="E113" s="2">
        <f t="shared" si="4"/>
        <v>8.26816633333333</v>
      </c>
    </row>
    <row r="114" spans="1:5">
      <c r="A114" s="1">
        <v>14.8</v>
      </c>
      <c r="B114" s="1">
        <v>1.2313</v>
      </c>
      <c r="C114" s="1">
        <v>499.31003</v>
      </c>
      <c r="D114" s="2">
        <f t="shared" si="3"/>
        <v>0.00833333333333333</v>
      </c>
      <c r="E114" s="2">
        <f t="shared" si="4"/>
        <v>8.32183383333333</v>
      </c>
    </row>
    <row r="115" spans="1:5">
      <c r="A115" s="1">
        <v>14.9</v>
      </c>
      <c r="B115" s="1">
        <v>1.2396</v>
      </c>
      <c r="C115" s="1">
        <v>502.53002</v>
      </c>
      <c r="D115" s="2">
        <f t="shared" si="3"/>
        <v>0.00840810810810811</v>
      </c>
      <c r="E115" s="2">
        <f t="shared" si="4"/>
        <v>8.37550033333333</v>
      </c>
    </row>
    <row r="116" spans="1:5">
      <c r="A116" s="1">
        <v>15</v>
      </c>
      <c r="B116" s="1">
        <v>1.2479</v>
      </c>
      <c r="C116" s="1">
        <v>505.76001</v>
      </c>
      <c r="D116" s="2">
        <f t="shared" si="3"/>
        <v>0.00848288288288288</v>
      </c>
      <c r="E116" s="2">
        <f t="shared" si="4"/>
        <v>8.4293335</v>
      </c>
    </row>
    <row r="117" spans="1:5">
      <c r="A117" s="1">
        <v>15.1</v>
      </c>
      <c r="B117" s="1">
        <v>1.2562</v>
      </c>
      <c r="C117" s="1">
        <v>508.16998</v>
      </c>
      <c r="D117" s="2">
        <f t="shared" si="3"/>
        <v>0.00855765765765766</v>
      </c>
      <c r="E117" s="2">
        <f t="shared" si="4"/>
        <v>8.46949966666667</v>
      </c>
    </row>
    <row r="118" spans="1:5">
      <c r="A118" s="1">
        <v>15.2</v>
      </c>
      <c r="B118" s="1">
        <v>1.2646</v>
      </c>
      <c r="C118" s="1">
        <v>511.39003</v>
      </c>
      <c r="D118" s="2">
        <f t="shared" si="3"/>
        <v>0.00863333333333333</v>
      </c>
      <c r="E118" s="2">
        <f t="shared" si="4"/>
        <v>8.52316716666667</v>
      </c>
    </row>
    <row r="119" spans="1:5">
      <c r="A119" s="1">
        <v>15.3</v>
      </c>
      <c r="B119" s="1">
        <v>1.2729</v>
      </c>
      <c r="C119" s="1">
        <v>514.61002</v>
      </c>
      <c r="D119" s="2">
        <f t="shared" si="3"/>
        <v>0.00870810810810811</v>
      </c>
      <c r="E119" s="2">
        <f t="shared" si="4"/>
        <v>8.57683366666667</v>
      </c>
    </row>
    <row r="120" spans="1:5">
      <c r="A120" s="1">
        <v>15.4</v>
      </c>
      <c r="B120" s="1">
        <v>1.2812</v>
      </c>
      <c r="C120" s="1">
        <v>517.02999</v>
      </c>
      <c r="D120" s="2">
        <f t="shared" si="3"/>
        <v>0.00878288288288288</v>
      </c>
      <c r="E120" s="2">
        <f t="shared" si="4"/>
        <v>8.6171665</v>
      </c>
    </row>
    <row r="121" spans="1:5">
      <c r="A121" s="1">
        <v>15.5</v>
      </c>
      <c r="B121" s="1">
        <v>1.2895</v>
      </c>
      <c r="C121" s="1">
        <v>519.45001</v>
      </c>
      <c r="D121" s="2">
        <f t="shared" si="3"/>
        <v>0.00885765765765766</v>
      </c>
      <c r="E121" s="2">
        <f t="shared" si="4"/>
        <v>8.65750016666667</v>
      </c>
    </row>
    <row r="122" spans="1:5">
      <c r="A122" s="1">
        <v>15.6</v>
      </c>
      <c r="B122" s="1">
        <v>1.2979</v>
      </c>
      <c r="C122" s="1">
        <v>522.67</v>
      </c>
      <c r="D122" s="2">
        <f t="shared" si="3"/>
        <v>0.00893333333333333</v>
      </c>
      <c r="E122" s="2">
        <f t="shared" si="4"/>
        <v>8.71116666666667</v>
      </c>
    </row>
    <row r="123" spans="1:5">
      <c r="A123" s="1">
        <v>15.7</v>
      </c>
      <c r="B123" s="1">
        <v>1.3063</v>
      </c>
      <c r="C123" s="1">
        <v>525.08002</v>
      </c>
      <c r="D123" s="2">
        <f t="shared" si="3"/>
        <v>0.00900900900900901</v>
      </c>
      <c r="E123" s="2">
        <f t="shared" si="4"/>
        <v>8.75133366666667</v>
      </c>
    </row>
    <row r="124" spans="1:5">
      <c r="A124" s="1">
        <v>15.8</v>
      </c>
      <c r="B124" s="1">
        <v>1.3146</v>
      </c>
      <c r="C124" s="1">
        <v>528.31002</v>
      </c>
      <c r="D124" s="2">
        <f t="shared" si="3"/>
        <v>0.00908378378378378</v>
      </c>
      <c r="E124" s="2">
        <f t="shared" si="4"/>
        <v>8.805167</v>
      </c>
    </row>
    <row r="125" spans="1:5">
      <c r="A125" s="1">
        <v>15.9</v>
      </c>
      <c r="B125" s="1">
        <v>1.3229</v>
      </c>
      <c r="C125" s="1">
        <v>530.71998</v>
      </c>
      <c r="D125" s="2">
        <f t="shared" si="3"/>
        <v>0.00915855855855856</v>
      </c>
      <c r="E125" s="2">
        <f t="shared" si="4"/>
        <v>8.845333</v>
      </c>
    </row>
    <row r="126" spans="1:5">
      <c r="A126" s="1">
        <v>16</v>
      </c>
      <c r="B126" s="1">
        <v>1.3312</v>
      </c>
      <c r="C126" s="1">
        <v>533.14</v>
      </c>
      <c r="D126" s="2">
        <f t="shared" si="3"/>
        <v>0.00923333333333333</v>
      </c>
      <c r="E126" s="2">
        <f t="shared" si="4"/>
        <v>8.88566666666667</v>
      </c>
    </row>
    <row r="127" spans="1:5">
      <c r="A127" s="1">
        <v>16.1</v>
      </c>
      <c r="B127" s="1">
        <v>1.3396</v>
      </c>
      <c r="C127" s="1">
        <v>535.55002</v>
      </c>
      <c r="D127" s="2">
        <f t="shared" si="3"/>
        <v>0.00930900900900901</v>
      </c>
      <c r="E127" s="2">
        <f t="shared" si="4"/>
        <v>8.92583366666667</v>
      </c>
    </row>
    <row r="128" spans="1:5">
      <c r="A128" s="1">
        <v>16.2</v>
      </c>
      <c r="B128" s="1">
        <v>1.3479</v>
      </c>
      <c r="C128" s="1">
        <v>537.96999</v>
      </c>
      <c r="D128" s="2">
        <f t="shared" si="3"/>
        <v>0.00938378378378378</v>
      </c>
      <c r="E128" s="2">
        <f t="shared" si="4"/>
        <v>8.9661665</v>
      </c>
    </row>
    <row r="129" spans="1:5">
      <c r="A129" s="1">
        <v>16.3</v>
      </c>
      <c r="B129" s="1">
        <v>1.3562</v>
      </c>
      <c r="C129" s="1">
        <v>540.39001</v>
      </c>
      <c r="D129" s="2">
        <f t="shared" si="3"/>
        <v>0.00945855855855856</v>
      </c>
      <c r="E129" s="2">
        <f t="shared" si="4"/>
        <v>9.00650016666667</v>
      </c>
    </row>
    <row r="130" spans="1:5">
      <c r="A130" s="1">
        <v>16.4</v>
      </c>
      <c r="B130" s="1">
        <v>1.3645</v>
      </c>
      <c r="C130" s="1">
        <v>542.79998</v>
      </c>
      <c r="D130" s="2">
        <f t="shared" si="3"/>
        <v>0.00953333333333333</v>
      </c>
      <c r="E130" s="2">
        <f t="shared" si="4"/>
        <v>9.04666633333333</v>
      </c>
    </row>
    <row r="131" spans="1:5">
      <c r="A131" s="1">
        <v>16.5</v>
      </c>
      <c r="B131" s="1">
        <v>1.3729</v>
      </c>
      <c r="C131" s="1">
        <v>544.40998</v>
      </c>
      <c r="D131" s="2">
        <f t="shared" si="3"/>
        <v>0.00960900900900901</v>
      </c>
      <c r="E131" s="2">
        <f t="shared" si="4"/>
        <v>9.07349966666667</v>
      </c>
    </row>
    <row r="132" spans="1:5">
      <c r="A132" s="1">
        <v>16.6</v>
      </c>
      <c r="B132" s="1">
        <v>1.3813</v>
      </c>
      <c r="C132" s="1">
        <v>546.83</v>
      </c>
      <c r="D132" s="2">
        <f t="shared" ref="D132:D156" si="5">((B132/$L$3))-0.00275945945945946</f>
        <v>0.00968468468468468</v>
      </c>
      <c r="E132" s="2">
        <f t="shared" si="4"/>
        <v>9.11383333333333</v>
      </c>
    </row>
    <row r="133" spans="1:5">
      <c r="A133" s="1">
        <v>16.7</v>
      </c>
      <c r="B133" s="1">
        <v>1.3896</v>
      </c>
      <c r="C133" s="1">
        <v>548.43999</v>
      </c>
      <c r="D133" s="2">
        <f t="shared" si="5"/>
        <v>0.00975945945945946</v>
      </c>
      <c r="E133" s="2">
        <f t="shared" si="4"/>
        <v>9.1406665</v>
      </c>
    </row>
    <row r="134" spans="1:5">
      <c r="A134" s="1">
        <v>16.8</v>
      </c>
      <c r="B134" s="1">
        <v>1.3979</v>
      </c>
      <c r="C134" s="1">
        <v>550.86002</v>
      </c>
      <c r="D134" s="2">
        <f t="shared" si="5"/>
        <v>0.00983423423423423</v>
      </c>
      <c r="E134" s="2">
        <f t="shared" si="4"/>
        <v>9.18100033333333</v>
      </c>
    </row>
    <row r="135" spans="1:5">
      <c r="A135" s="1">
        <v>16.9</v>
      </c>
      <c r="B135" s="1">
        <v>1.4062</v>
      </c>
      <c r="C135" s="1">
        <v>552.47001</v>
      </c>
      <c r="D135" s="2">
        <f t="shared" si="5"/>
        <v>0.00990900900900901</v>
      </c>
      <c r="E135" s="2">
        <f t="shared" si="4"/>
        <v>9.2078335</v>
      </c>
    </row>
    <row r="136" spans="1:5">
      <c r="A136" s="1">
        <v>17</v>
      </c>
      <c r="B136" s="1">
        <v>1.4146</v>
      </c>
      <c r="C136" s="1">
        <v>554.08001</v>
      </c>
      <c r="D136" s="2">
        <f t="shared" si="5"/>
        <v>0.00998468468468468</v>
      </c>
      <c r="E136" s="2">
        <f t="shared" si="4"/>
        <v>9.23466683333333</v>
      </c>
    </row>
    <row r="137" spans="1:5">
      <c r="A137" s="1">
        <v>17.1</v>
      </c>
      <c r="B137" s="1">
        <v>1.4229</v>
      </c>
      <c r="C137" s="1">
        <v>555.69001</v>
      </c>
      <c r="D137" s="2">
        <f t="shared" si="5"/>
        <v>0.0100594594594595</v>
      </c>
      <c r="E137" s="2">
        <f t="shared" si="4"/>
        <v>9.26150016666667</v>
      </c>
    </row>
    <row r="138" spans="1:5">
      <c r="A138" s="1">
        <v>17.2</v>
      </c>
      <c r="B138" s="1">
        <v>1.4312</v>
      </c>
      <c r="C138" s="1">
        <v>557.3</v>
      </c>
      <c r="D138" s="2">
        <f t="shared" si="5"/>
        <v>0.0101342342342342</v>
      </c>
      <c r="E138" s="2">
        <f t="shared" si="4"/>
        <v>9.28833333333333</v>
      </c>
    </row>
    <row r="139" spans="1:5">
      <c r="A139" s="1">
        <v>17.3</v>
      </c>
      <c r="B139" s="1">
        <v>1.4395</v>
      </c>
      <c r="C139" s="1">
        <v>558.91</v>
      </c>
      <c r="D139" s="2">
        <f t="shared" si="5"/>
        <v>0.010209009009009</v>
      </c>
      <c r="E139" s="2">
        <f t="shared" si="4"/>
        <v>9.31516666666667</v>
      </c>
    </row>
    <row r="140" spans="1:5">
      <c r="A140" s="1">
        <v>17.4</v>
      </c>
      <c r="B140" s="1">
        <v>1.4479</v>
      </c>
      <c r="C140" s="1">
        <v>560.51999</v>
      </c>
      <c r="D140" s="2">
        <f t="shared" si="5"/>
        <v>0.0102846846846847</v>
      </c>
      <c r="E140" s="2">
        <f t="shared" si="4"/>
        <v>9.34199983333333</v>
      </c>
    </row>
    <row r="141" spans="1:5">
      <c r="A141" s="1">
        <v>17.5</v>
      </c>
      <c r="B141" s="1">
        <v>1.4563</v>
      </c>
      <c r="C141" s="1">
        <v>561.33002</v>
      </c>
      <c r="D141" s="2">
        <f t="shared" si="5"/>
        <v>0.0103603603603604</v>
      </c>
      <c r="E141" s="2">
        <f t="shared" si="4"/>
        <v>9.35550033333333</v>
      </c>
    </row>
    <row r="142" spans="1:5">
      <c r="A142" s="1">
        <v>17.6</v>
      </c>
      <c r="B142" s="1">
        <v>1.4646</v>
      </c>
      <c r="C142" s="1">
        <v>562.12999</v>
      </c>
      <c r="D142" s="2">
        <f t="shared" si="5"/>
        <v>0.0104351351351351</v>
      </c>
      <c r="E142" s="2">
        <f t="shared" si="4"/>
        <v>9.36883316666667</v>
      </c>
    </row>
    <row r="143" spans="1:5">
      <c r="A143" s="1">
        <v>17.7</v>
      </c>
      <c r="B143" s="1">
        <v>1.4729</v>
      </c>
      <c r="C143" s="1">
        <v>562.94002</v>
      </c>
      <c r="D143" s="2">
        <f t="shared" si="5"/>
        <v>0.0105099099099099</v>
      </c>
      <c r="E143" s="2">
        <f t="shared" si="4"/>
        <v>9.38233366666667</v>
      </c>
    </row>
    <row r="144" spans="1:5">
      <c r="A144" s="1">
        <v>17.8</v>
      </c>
      <c r="B144" s="1">
        <v>1.4812</v>
      </c>
      <c r="C144" s="1">
        <v>564.55001</v>
      </c>
      <c r="D144" s="2">
        <f t="shared" si="5"/>
        <v>0.0105846846846847</v>
      </c>
      <c r="E144" s="2">
        <f t="shared" si="4"/>
        <v>9.40916683333333</v>
      </c>
    </row>
    <row r="145" spans="1:5">
      <c r="A145" s="1">
        <v>17.9</v>
      </c>
      <c r="B145" s="1">
        <v>1.4896</v>
      </c>
      <c r="C145" s="1">
        <v>564.55001</v>
      </c>
      <c r="D145" s="2">
        <f t="shared" si="5"/>
        <v>0.0106603603603604</v>
      </c>
      <c r="E145" s="2">
        <f t="shared" si="4"/>
        <v>9.40916683333333</v>
      </c>
    </row>
    <row r="146" spans="1:5">
      <c r="A146" s="1">
        <v>18</v>
      </c>
      <c r="B146" s="1">
        <v>1.4979</v>
      </c>
      <c r="C146" s="1">
        <v>565.34998</v>
      </c>
      <c r="D146" s="2">
        <f t="shared" si="5"/>
        <v>0.0107351351351351</v>
      </c>
      <c r="E146" s="2">
        <f t="shared" si="4"/>
        <v>9.42249966666667</v>
      </c>
    </row>
    <row r="147" spans="1:5">
      <c r="A147" s="1">
        <v>18.1</v>
      </c>
      <c r="B147" s="1">
        <v>1.5062</v>
      </c>
      <c r="C147" s="1">
        <v>564.55001</v>
      </c>
      <c r="D147" s="2">
        <f t="shared" si="5"/>
        <v>0.0108099099099099</v>
      </c>
      <c r="E147" s="2">
        <f t="shared" si="4"/>
        <v>9.40916683333333</v>
      </c>
    </row>
    <row r="148" spans="1:5">
      <c r="A148" s="1">
        <v>18.2</v>
      </c>
      <c r="B148" s="1">
        <v>1.5145</v>
      </c>
      <c r="C148" s="1">
        <v>564.55001</v>
      </c>
      <c r="D148" s="2">
        <f t="shared" si="5"/>
        <v>0.0108846846846847</v>
      </c>
      <c r="E148" s="2">
        <f t="shared" si="4"/>
        <v>9.40916683333333</v>
      </c>
    </row>
    <row r="149" spans="1:5">
      <c r="A149" s="1">
        <v>18.3</v>
      </c>
      <c r="B149" s="1">
        <v>1.5229</v>
      </c>
      <c r="C149" s="1">
        <v>564.55001</v>
      </c>
      <c r="D149" s="2">
        <f t="shared" si="5"/>
        <v>0.0109603603603604</v>
      </c>
      <c r="E149" s="2">
        <f t="shared" si="4"/>
        <v>9.40916683333333</v>
      </c>
    </row>
    <row r="150" spans="1:5">
      <c r="A150" s="1">
        <v>18.4</v>
      </c>
      <c r="B150" s="1">
        <v>1.5312</v>
      </c>
      <c r="C150" s="1">
        <v>563.73999</v>
      </c>
      <c r="D150" s="2">
        <f t="shared" si="5"/>
        <v>0.0110351351351351</v>
      </c>
      <c r="E150" s="2">
        <f t="shared" si="4"/>
        <v>9.3956665</v>
      </c>
    </row>
    <row r="151" spans="1:5">
      <c r="A151" s="1">
        <v>18.5</v>
      </c>
      <c r="B151" s="1">
        <v>1.5396</v>
      </c>
      <c r="C151" s="1">
        <v>562.12999</v>
      </c>
      <c r="D151" s="2">
        <f t="shared" si="5"/>
        <v>0.0111108108108108</v>
      </c>
      <c r="E151" s="2">
        <f t="shared" si="4"/>
        <v>9.36883316666667</v>
      </c>
    </row>
    <row r="152" spans="1:5">
      <c r="A152" s="1">
        <v>18.6</v>
      </c>
      <c r="B152" s="1">
        <v>1.5479</v>
      </c>
      <c r="C152" s="1">
        <v>560.51999</v>
      </c>
      <c r="D152" s="2">
        <f t="shared" si="5"/>
        <v>0.0111855855855856</v>
      </c>
      <c r="E152" s="2">
        <f t="shared" si="4"/>
        <v>9.34199983333333</v>
      </c>
    </row>
    <row r="153" spans="1:5">
      <c r="A153" s="1">
        <v>18.7</v>
      </c>
      <c r="B153" s="1">
        <v>1.5562</v>
      </c>
      <c r="C153" s="1">
        <v>557.3</v>
      </c>
      <c r="D153" s="2">
        <f t="shared" si="5"/>
        <v>0.0112603603603604</v>
      </c>
      <c r="E153" s="2">
        <f t="shared" si="4"/>
        <v>9.28833333333333</v>
      </c>
    </row>
    <row r="154" spans="1:5">
      <c r="A154" s="1">
        <v>18.8</v>
      </c>
      <c r="B154" s="1">
        <v>1.5646</v>
      </c>
      <c r="C154" s="1">
        <v>552.47001</v>
      </c>
      <c r="D154" s="2">
        <f t="shared" si="5"/>
        <v>0.011336036036036</v>
      </c>
      <c r="E154" s="2">
        <f t="shared" si="4"/>
        <v>9.2078335</v>
      </c>
    </row>
    <row r="155" spans="1:5">
      <c r="D155" s="2"/>
      <c r="E155" s="2"/>
    </row>
    <row r="156" spans="1:5">
      <c r="D156" s="2"/>
      <c r="E156" s="2"/>
    </row>
    <row r="157" spans="1:5">
      <c r="D157" s="2"/>
      <c r="E157" s="2"/>
    </row>
    <row r="158" spans="1:5">
      <c r="D158" s="2"/>
      <c r="E158" s="2"/>
    </row>
    <row r="159" spans="1:5">
      <c r="D159" s="2"/>
      <c r="E159" s="2"/>
    </row>
    <row r="160" spans="1:5">
      <c r="D160" s="2"/>
      <c r="E160" s="2"/>
    </row>
    <row r="161" spans="4:5">
      <c r="D161" s="2"/>
      <c r="E161" s="2"/>
    </row>
    <row r="162" spans="4:5">
      <c r="D162" s="2"/>
      <c r="E162" s="2"/>
    </row>
    <row r="163" spans="4:5">
      <c r="D163" s="2"/>
      <c r="E163" s="2"/>
    </row>
    <row r="164" spans="4:5">
      <c r="D164" s="2"/>
      <c r="E164" s="2"/>
    </row>
    <row r="165" spans="4:5">
      <c r="D165" s="2"/>
      <c r="E165" s="2"/>
    </row>
    <row r="166" spans="4:5">
      <c r="D166" s="2"/>
      <c r="E166" s="2"/>
    </row>
    <row r="167" spans="4:5">
      <c r="D167" s="2"/>
      <c r="E167" s="2"/>
    </row>
    <row r="168" spans="4:5">
      <c r="D168" s="2"/>
      <c r="E168" s="2"/>
    </row>
    <row r="169" spans="4:5">
      <c r="D169" s="2"/>
      <c r="E169" s="2"/>
    </row>
    <row r="170" spans="4:5">
      <c r="D170" s="2"/>
      <c r="E170" s="2"/>
    </row>
    <row r="171" spans="4:5">
      <c r="D171" s="2"/>
      <c r="E171" s="2"/>
    </row>
    <row r="172" spans="4:5">
      <c r="D172" s="2"/>
      <c r="E172" s="2"/>
    </row>
    <row r="173" spans="4:5">
      <c r="D173" s="2"/>
      <c r="E173" s="2"/>
    </row>
    <row r="174" spans="4:5">
      <c r="D174" s="2"/>
      <c r="E174" s="2"/>
    </row>
    <row r="175" spans="4:5">
      <c r="D175" s="2"/>
      <c r="E175" s="2"/>
    </row>
    <row r="176" spans="4:5">
      <c r="D176" s="2"/>
      <c r="E176" s="2"/>
    </row>
    <row r="177" spans="4:5">
      <c r="D177" s="2"/>
      <c r="E177" s="2"/>
    </row>
    <row r="178" spans="4:5">
      <c r="D178" s="2"/>
      <c r="E178" s="2"/>
    </row>
    <row r="179" spans="4:5">
      <c r="D179" s="2"/>
      <c r="E179" s="2"/>
    </row>
    <row r="180" spans="4:5">
      <c r="D180" s="2"/>
      <c r="E180" s="2"/>
    </row>
    <row r="181" spans="4:5">
      <c r="D181" s="2"/>
      <c r="E181" s="2"/>
    </row>
    <row r="182" spans="4:5">
      <c r="D182" s="2"/>
      <c r="E182" s="2"/>
    </row>
    <row r="183" spans="4:5">
      <c r="D183" s="2"/>
      <c r="E183" s="2"/>
    </row>
    <row r="184" spans="4:5">
      <c r="D184" s="2"/>
      <c r="E184" s="2"/>
    </row>
    <row r="185" spans="4:5">
      <c r="D185" s="2"/>
      <c r="E185" s="2"/>
    </row>
    <row r="186" spans="4:5">
      <c r="D186" s="2"/>
      <c r="E186" s="2"/>
    </row>
    <row r="187" spans="4:5">
      <c r="D187" s="2"/>
      <c r="E187" s="2"/>
    </row>
    <row r="188" spans="4:5">
      <c r="D188" s="2"/>
      <c r="E188" s="2"/>
    </row>
    <row r="189" spans="4:5">
      <c r="D189" s="2"/>
      <c r="E189" s="2"/>
    </row>
    <row r="190" spans="4:5">
      <c r="D190" s="2"/>
      <c r="E190" s="2"/>
    </row>
    <row r="191" spans="4:5">
      <c r="D191" s="2"/>
      <c r="E191" s="2"/>
    </row>
    <row r="192" spans="4:5">
      <c r="D192" s="2"/>
      <c r="E192" s="2"/>
    </row>
    <row r="193" spans="4:5">
      <c r="D193" s="2"/>
      <c r="E193" s="2"/>
    </row>
    <row r="194" spans="4:5">
      <c r="D194" s="2"/>
      <c r="E194" s="2"/>
    </row>
    <row r="195" spans="4:5">
      <c r="D195" s="2"/>
      <c r="E195" s="2"/>
    </row>
    <row r="196" spans="4:5">
      <c r="D196" s="2"/>
      <c r="E196" s="2"/>
    </row>
    <row r="197" spans="4:5">
      <c r="D197" s="2"/>
      <c r="E197" s="2"/>
    </row>
    <row r="198" spans="4:5">
      <c r="D198" s="2"/>
      <c r="E198" s="2"/>
    </row>
    <row r="199" spans="4:5">
      <c r="D199" s="2"/>
      <c r="E199" s="2"/>
    </row>
    <row r="200" spans="4:5">
      <c r="D200" s="2"/>
      <c r="E200" s="2"/>
    </row>
    <row r="201" spans="4:5">
      <c r="D201" s="2"/>
      <c r="E201" s="2"/>
    </row>
    <row r="202" spans="4:5">
      <c r="D202" s="2"/>
      <c r="E202" s="2"/>
    </row>
    <row r="203" spans="4:5">
      <c r="D203" s="2"/>
      <c r="E203" s="2"/>
    </row>
    <row r="204" spans="4:5">
      <c r="D204" s="2"/>
      <c r="E204" s="2"/>
    </row>
    <row r="205" spans="4:5">
      <c r="D205" s="2"/>
      <c r="E205" s="2"/>
    </row>
    <row r="206" spans="4:5">
      <c r="D206" s="2"/>
      <c r="E206" s="2"/>
    </row>
    <row r="207" spans="4:5">
      <c r="D207" s="2"/>
      <c r="E207" s="2"/>
    </row>
    <row r="208" spans="4:5">
      <c r="D208" s="2"/>
      <c r="E208" s="2"/>
    </row>
    <row r="209" spans="4:5">
      <c r="D209" s="2"/>
      <c r="E209" s="2"/>
    </row>
    <row r="210" spans="4:5">
      <c r="D210" s="2"/>
      <c r="E210" s="2"/>
    </row>
    <row r="211" spans="4:5">
      <c r="D211" s="2"/>
      <c r="E211" s="2"/>
    </row>
    <row r="212" spans="4:5">
      <c r="D212" s="2"/>
      <c r="E212" s="2"/>
    </row>
    <row r="213" spans="4:5">
      <c r="D213" s="2"/>
      <c r="E213" s="2"/>
    </row>
    <row r="214" spans="4:5">
      <c r="D214" s="2"/>
      <c r="E214" s="2"/>
    </row>
    <row r="215" spans="4:5">
      <c r="D215" s="2"/>
      <c r="E215" s="2"/>
    </row>
    <row r="216" spans="4:5">
      <c r="D216" s="2"/>
      <c r="E216" s="2"/>
    </row>
    <row r="217" spans="4:5">
      <c r="D217" s="2"/>
      <c r="E217" s="2"/>
    </row>
    <row r="218" spans="4:5">
      <c r="D218" s="2"/>
      <c r="E218" s="2"/>
    </row>
    <row r="219" spans="4:5">
      <c r="D219" s="2"/>
      <c r="E219" s="2"/>
    </row>
    <row r="220" spans="4:5">
      <c r="D220" s="2"/>
      <c r="E220" s="2"/>
    </row>
    <row r="221" spans="4:5">
      <c r="D221" s="2"/>
      <c r="E221" s="2"/>
    </row>
    <row r="222" spans="4:5">
      <c r="D222" s="2"/>
      <c r="E222" s="2"/>
    </row>
    <row r="223" spans="4:5">
      <c r="D223" s="2"/>
      <c r="E223" s="2"/>
    </row>
    <row r="224" spans="4:5">
      <c r="D224" s="2"/>
      <c r="E224" s="2"/>
    </row>
    <row r="225" spans="4:5">
      <c r="D225" s="2"/>
      <c r="E225" s="2"/>
    </row>
    <row r="226" spans="4:5">
      <c r="D226" s="2"/>
      <c r="E226" s="2"/>
    </row>
    <row r="227" spans="4:5">
      <c r="D227" s="2"/>
      <c r="E227" s="2"/>
    </row>
    <row r="228" spans="4:5">
      <c r="D228" s="2"/>
      <c r="E228" s="2"/>
    </row>
    <row r="229" spans="4:5">
      <c r="D229" s="2"/>
      <c r="E229" s="2"/>
    </row>
    <row r="230" spans="4:5">
      <c r="D230" s="2"/>
      <c r="E230" s="2"/>
    </row>
    <row r="231" spans="4:5">
      <c r="D231" s="2"/>
      <c r="E231" s="2"/>
    </row>
    <row r="232" spans="4:5">
      <c r="D232" s="2"/>
      <c r="E232" s="2"/>
    </row>
    <row r="233" spans="4:5">
      <c r="D233" s="2"/>
      <c r="E233" s="2"/>
    </row>
    <row r="234" spans="4:5">
      <c r="D234" s="2"/>
      <c r="E234" s="2"/>
    </row>
    <row r="235" spans="4:5">
      <c r="D235" s="2"/>
      <c r="E235" s="2"/>
    </row>
    <row r="236" spans="4:5">
      <c r="D236" s="2"/>
      <c r="E236" s="2"/>
    </row>
    <row r="237" spans="4:5">
      <c r="D237" s="2"/>
      <c r="E237" s="2"/>
    </row>
    <row r="238" spans="4:5">
      <c r="D238" s="2"/>
      <c r="E238" s="2"/>
    </row>
    <row r="239" spans="4:5">
      <c r="D239" s="2"/>
      <c r="E239" s="2"/>
    </row>
    <row r="240" spans="4:5">
      <c r="D240" s="2"/>
      <c r="E240" s="2"/>
    </row>
    <row r="241" spans="4:5">
      <c r="D241" s="2"/>
      <c r="E241" s="2"/>
    </row>
    <row r="242" spans="4:5">
      <c r="D242" s="2"/>
      <c r="E242" s="2"/>
    </row>
    <row r="243" spans="4:5">
      <c r="D243" s="2"/>
      <c r="E243" s="2"/>
    </row>
    <row r="244" spans="4:5">
      <c r="D244" s="2"/>
      <c r="E244" s="2"/>
    </row>
    <row r="245" spans="4:5">
      <c r="D245" s="2"/>
      <c r="E245" s="2"/>
    </row>
    <row r="246" spans="4:5">
      <c r="D246" s="2"/>
      <c r="E246" s="2"/>
    </row>
    <row r="247" spans="4:5">
      <c r="D247" s="2"/>
      <c r="E247" s="2"/>
    </row>
    <row r="248" spans="4:5">
      <c r="D248" s="2"/>
      <c r="E248" s="2"/>
    </row>
    <row r="249" spans="4:5">
      <c r="D249" s="2"/>
      <c r="E249" s="2"/>
    </row>
    <row r="250" spans="4:5">
      <c r="D250" s="2"/>
      <c r="E250" s="2"/>
    </row>
    <row r="251" spans="4:5">
      <c r="D251" s="2"/>
      <c r="E251" s="2"/>
    </row>
    <row r="252" spans="4:5">
      <c r="D252" s="2"/>
      <c r="E252" s="2"/>
    </row>
    <row r="253" spans="4:5">
      <c r="D253" s="2"/>
      <c r="E253" s="2"/>
    </row>
    <row r="254" spans="4:5">
      <c r="D254" s="2"/>
      <c r="E254" s="2"/>
    </row>
    <row r="255" spans="4:5">
      <c r="D255" s="2"/>
      <c r="E255" s="2"/>
    </row>
    <row r="256" spans="4:5">
      <c r="D256" s="2"/>
      <c r="E256" s="2"/>
    </row>
    <row r="257" spans="4:5">
      <c r="D257" s="2"/>
      <c r="E257" s="2"/>
    </row>
    <row r="258" spans="4:5">
      <c r="D258" s="2"/>
      <c r="E258" s="2"/>
    </row>
    <row r="259" spans="4:5">
      <c r="D259" s="2"/>
      <c r="E259" s="2"/>
    </row>
    <row r="260" spans="4:5">
      <c r="D260" s="2"/>
      <c r="E260" s="2"/>
    </row>
    <row r="261" spans="4:5">
      <c r="D261" s="2"/>
      <c r="E261" s="2"/>
    </row>
    <row r="262" spans="4:5">
      <c r="D262" s="2"/>
      <c r="E262" s="2"/>
    </row>
    <row r="263" spans="4:5">
      <c r="D263" s="2"/>
      <c r="E263" s="2"/>
    </row>
    <row r="264" spans="4:5">
      <c r="D264" s="2"/>
      <c r="E264" s="2"/>
    </row>
    <row r="265" spans="4:5">
      <c r="D265" s="2"/>
      <c r="E265" s="2"/>
    </row>
    <row r="266" spans="4:5">
      <c r="D266" s="2"/>
      <c r="E266" s="2"/>
    </row>
    <row r="267" spans="4:5">
      <c r="D267" s="2"/>
      <c r="E267" s="2"/>
    </row>
    <row r="268" spans="4:5">
      <c r="D268" s="2"/>
      <c r="E268" s="2"/>
    </row>
    <row r="269" spans="4:5">
      <c r="D269" s="2"/>
      <c r="E269" s="2"/>
    </row>
    <row r="270" spans="4:5">
      <c r="D270" s="2"/>
      <c r="E270" s="2"/>
    </row>
    <row r="271" spans="4:5">
      <c r="D271" s="2"/>
      <c r="E271" s="2"/>
    </row>
    <row r="272" spans="4:5">
      <c r="D272" s="2"/>
      <c r="E272" s="2"/>
    </row>
    <row r="273" spans="4:5">
      <c r="D273" s="2"/>
      <c r="E273" s="2"/>
    </row>
    <row r="274" spans="4:5">
      <c r="D274" s="2"/>
      <c r="E274" s="2"/>
    </row>
    <row r="275" spans="4:5">
      <c r="D275" s="2"/>
      <c r="E275" s="2"/>
    </row>
    <row r="276" spans="4:5">
      <c r="D276" s="2"/>
      <c r="E276" s="2"/>
    </row>
    <row r="277" spans="4:5">
      <c r="D277" s="2"/>
      <c r="E277" s="2"/>
    </row>
    <row r="278" spans="4:5">
      <c r="D278" s="2"/>
      <c r="E278" s="2"/>
    </row>
    <row r="279" spans="4:5">
      <c r="D279" s="2"/>
      <c r="E279" s="2"/>
    </row>
    <row r="280" spans="4:5">
      <c r="D280" s="2"/>
      <c r="E280" s="2"/>
    </row>
    <row r="281" spans="4:5">
      <c r="D281" s="2"/>
      <c r="E281" s="2"/>
    </row>
    <row r="282" spans="4:5">
      <c r="D282" s="2"/>
      <c r="E282" s="2"/>
    </row>
    <row r="283" spans="4:5">
      <c r="D283" s="2"/>
      <c r="E283" s="2"/>
    </row>
    <row r="284" spans="4:5">
      <c r="D284" s="2"/>
      <c r="E284" s="2"/>
    </row>
    <row r="285" spans="4:5">
      <c r="D285" s="2"/>
      <c r="E285" s="2"/>
    </row>
    <row r="286" spans="4:5">
      <c r="D286" s="2"/>
      <c r="E286" s="2"/>
    </row>
    <row r="287" spans="4:5">
      <c r="D287" s="2"/>
      <c r="E287" s="2"/>
    </row>
    <row r="288" spans="4:5">
      <c r="D288" s="2"/>
      <c r="E288" s="2"/>
    </row>
    <row r="289" spans="4:5">
      <c r="D289" s="2"/>
      <c r="E289" s="2"/>
    </row>
    <row r="290" spans="4:5">
      <c r="D290" s="2"/>
      <c r="E290" s="2"/>
    </row>
    <row r="291" spans="4:5">
      <c r="D291" s="2"/>
      <c r="E291" s="2"/>
    </row>
    <row r="292" spans="4:5">
      <c r="D292" s="2"/>
      <c r="E292" s="2"/>
    </row>
    <row r="293" spans="4:5">
      <c r="D293" s="2"/>
      <c r="E293" s="2"/>
    </row>
    <row r="294" spans="4:5">
      <c r="D294" s="2"/>
      <c r="E294" s="2"/>
    </row>
    <row r="295" spans="4:5">
      <c r="D295" s="2"/>
      <c r="E295" s="2"/>
    </row>
    <row r="296" spans="4:5">
      <c r="D296" s="2"/>
      <c r="E296" s="2"/>
    </row>
    <row r="297" spans="4:5">
      <c r="D297" s="2"/>
      <c r="E297" s="2"/>
    </row>
    <row r="298" spans="4:5">
      <c r="D298" s="2"/>
      <c r="E298" s="2"/>
    </row>
    <row r="299" spans="4:5">
      <c r="D299" s="2"/>
      <c r="E299" s="2"/>
    </row>
    <row r="300" spans="4:5">
      <c r="D300" s="2"/>
      <c r="E300" s="2"/>
    </row>
    <row r="301" spans="4:5">
      <c r="D301" s="2"/>
      <c r="E301" s="2"/>
    </row>
    <row r="302" spans="4:5">
      <c r="D302" s="2"/>
      <c r="E302" s="2"/>
    </row>
    <row r="303" spans="4:5">
      <c r="D303" s="2"/>
      <c r="E303" s="2"/>
    </row>
    <row r="304" spans="4:5">
      <c r="D304" s="2"/>
      <c r="E304" s="2"/>
    </row>
    <row r="305" spans="4:5">
      <c r="D305" s="2"/>
      <c r="E305" s="2"/>
    </row>
    <row r="306" spans="4:5">
      <c r="D306" s="2"/>
      <c r="E306" s="2"/>
    </row>
    <row r="307" spans="4:5">
      <c r="D307" s="2"/>
      <c r="E307" s="2"/>
    </row>
    <row r="308" spans="4:5">
      <c r="D308" s="2"/>
      <c r="E308" s="2"/>
    </row>
    <row r="309" spans="4:5">
      <c r="D309" s="2"/>
      <c r="E309" s="2"/>
    </row>
    <row r="310" spans="4:5">
      <c r="D310" s="2"/>
      <c r="E310" s="2"/>
    </row>
    <row r="311" spans="4:5">
      <c r="D311" s="2"/>
      <c r="E311" s="2"/>
    </row>
    <row r="312" spans="4:5">
      <c r="D312" s="2"/>
      <c r="E312" s="2"/>
    </row>
    <row r="313" spans="4:5">
      <c r="D313" s="2"/>
      <c r="E313" s="2"/>
    </row>
    <row r="314" spans="4:5">
      <c r="D314" s="2"/>
      <c r="E314" s="2"/>
    </row>
    <row r="315" spans="4:5">
      <c r="D315" s="2"/>
      <c r="E315" s="2"/>
    </row>
    <row r="316" spans="4:5">
      <c r="D316" s="2"/>
      <c r="E316" s="2"/>
    </row>
    <row r="317" spans="4:5">
      <c r="D317" s="2"/>
      <c r="E317" s="2"/>
    </row>
    <row r="318" spans="4:5">
      <c r="D318" s="2"/>
      <c r="E318" s="2"/>
    </row>
    <row r="319" spans="4:5">
      <c r="D319" s="2"/>
      <c r="E319" s="2"/>
    </row>
    <row r="320" spans="4:5">
      <c r="D320" s="2"/>
      <c r="E320" s="2"/>
    </row>
    <row r="321" spans="4:5">
      <c r="D321" s="2"/>
      <c r="E321" s="2"/>
    </row>
    <row r="322" spans="4:5">
      <c r="D322" s="2"/>
      <c r="E322" s="2"/>
    </row>
    <row r="323" spans="4:5">
      <c r="D323" s="2"/>
      <c r="E323" s="2"/>
    </row>
    <row r="324" spans="4:5">
      <c r="D324" s="2"/>
      <c r="E324" s="2"/>
    </row>
    <row r="325" spans="4:5">
      <c r="D325" s="2"/>
      <c r="E325" s="2"/>
    </row>
    <row r="326" spans="4:5">
      <c r="D326" s="2"/>
      <c r="E326" s="2"/>
    </row>
    <row r="327" spans="4:5">
      <c r="D327" s="2"/>
      <c r="E327" s="2"/>
    </row>
    <row r="328" spans="4:5">
      <c r="D328" s="2"/>
      <c r="E328" s="2"/>
    </row>
    <row r="329" spans="4:5">
      <c r="D329" s="2"/>
      <c r="E329" s="2"/>
    </row>
    <row r="330" spans="4:5">
      <c r="D330" s="2"/>
      <c r="E330" s="2"/>
    </row>
    <row r="331" spans="4:5">
      <c r="D331" s="2"/>
      <c r="E331" s="2"/>
    </row>
    <row r="332" spans="4:5">
      <c r="D332" s="2"/>
      <c r="E332" s="2"/>
    </row>
    <row r="333" spans="4:5">
      <c r="D333" s="2"/>
      <c r="E333" s="2"/>
    </row>
    <row r="334" spans="4:5">
      <c r="D334" s="2"/>
      <c r="E334" s="2"/>
    </row>
    <row r="335" spans="4:5">
      <c r="D335" s="2"/>
      <c r="E335" s="2"/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34"/>
  <sheetViews>
    <sheetView workbookViewId="0">
      <selection activeCell="H24" sqref="H24"/>
    </sheetView>
  </sheetViews>
  <sheetFormatPr defaultColWidth="9" defaultRowHeight="14"/>
  <cols>
    <col min="1" max="3" width="8.84166666666667" style="1"/>
    <col min="4" max="4" width="11.2083333333333" customWidth="1"/>
    <col min="5" max="5" width="6.89166666666667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2" t="s">
        <v>8</v>
      </c>
      <c r="E2" s="2" t="s">
        <v>9</v>
      </c>
    </row>
    <row r="3" spans="1:13">
      <c r="A3" s="1">
        <v>3.8</v>
      </c>
      <c r="B3" s="1">
        <v>0.3144</v>
      </c>
      <c r="C3" s="1">
        <v>28.99</v>
      </c>
      <c r="D3" s="2">
        <f>((B3/$L$3))-0.00283243243243243</f>
        <v>0</v>
      </c>
      <c r="E3" s="2">
        <f t="shared" ref="E3:E28" si="0">C3/$L$4</f>
        <v>0.483166666666667</v>
      </c>
      <c r="K3" t="s">
        <v>10</v>
      </c>
      <c r="L3">
        <v>111</v>
      </c>
      <c r="M3" t="s">
        <v>11</v>
      </c>
    </row>
    <row r="4" spans="1:13">
      <c r="A4" s="1">
        <v>3.9</v>
      </c>
      <c r="B4" s="1">
        <v>0.3228</v>
      </c>
      <c r="C4" s="1">
        <v>33.82</v>
      </c>
      <c r="D4" s="2">
        <f t="shared" ref="D4:D67" si="1">((B4/$L$3))-0.00283243243243243</f>
        <v>7.5675675675678e-5</v>
      </c>
      <c r="E4" s="2">
        <f t="shared" si="0"/>
        <v>0.563666666666667</v>
      </c>
      <c r="K4" t="s">
        <v>12</v>
      </c>
      <c r="L4">
        <f>10*6</f>
        <v>60</v>
      </c>
      <c r="M4" t="s">
        <v>13</v>
      </c>
    </row>
    <row r="5" spans="1:13">
      <c r="A5" s="1">
        <v>4</v>
      </c>
      <c r="B5" s="1">
        <v>0.3311</v>
      </c>
      <c r="C5" s="1">
        <v>38.65</v>
      </c>
      <c r="D5" s="2">
        <f t="shared" si="1"/>
        <v>0.000150450450450453</v>
      </c>
      <c r="E5" s="2">
        <f t="shared" si="0"/>
        <v>0.644166666666667</v>
      </c>
    </row>
    <row r="6" spans="1:13">
      <c r="A6" s="1">
        <v>4.1</v>
      </c>
      <c r="B6" s="1">
        <v>0.3394</v>
      </c>
      <c r="C6" s="1">
        <v>42.68</v>
      </c>
      <c r="D6" s="2">
        <f t="shared" si="1"/>
        <v>0.000225225225225228</v>
      </c>
      <c r="E6" s="2">
        <f t="shared" si="0"/>
        <v>0.711333333333333</v>
      </c>
    </row>
    <row r="7" spans="1:13">
      <c r="A7" s="1">
        <v>4.2</v>
      </c>
      <c r="B7" s="1">
        <v>0.3477</v>
      </c>
      <c r="C7" s="1">
        <v>48.32</v>
      </c>
      <c r="D7" s="2">
        <f t="shared" si="1"/>
        <v>0.000300000000000003</v>
      </c>
      <c r="E7" s="2">
        <f t="shared" si="0"/>
        <v>0.805333333333333</v>
      </c>
    </row>
    <row r="8" spans="1:13">
      <c r="A8" s="1">
        <v>4.3</v>
      </c>
      <c r="B8" s="1">
        <v>0.3561</v>
      </c>
      <c r="C8" s="1">
        <v>52.34</v>
      </c>
      <c r="D8" s="2">
        <f t="shared" si="1"/>
        <v>0.000375675675675678</v>
      </c>
      <c r="E8" s="2">
        <f t="shared" si="0"/>
        <v>0.872333333333333</v>
      </c>
    </row>
    <row r="9" spans="1:13">
      <c r="A9" s="1">
        <v>4.4</v>
      </c>
      <c r="B9" s="1">
        <v>0.3644</v>
      </c>
      <c r="C9" s="1">
        <v>57.17</v>
      </c>
      <c r="D9" s="2">
        <f t="shared" si="1"/>
        <v>0.000450450450450453</v>
      </c>
      <c r="E9" s="2">
        <f t="shared" si="0"/>
        <v>0.952833333333333</v>
      </c>
    </row>
    <row r="10" spans="1:13">
      <c r="A10" s="1">
        <v>4.5</v>
      </c>
      <c r="B10" s="1">
        <v>0.3727</v>
      </c>
      <c r="C10" s="1">
        <v>62.01</v>
      </c>
      <c r="D10" s="2">
        <f t="shared" si="1"/>
        <v>0.000525225225225228</v>
      </c>
      <c r="E10" s="2">
        <f t="shared" si="0"/>
        <v>1.0335</v>
      </c>
    </row>
    <row r="11" spans="1:13">
      <c r="A11" s="1">
        <v>4.6</v>
      </c>
      <c r="B11" s="1">
        <v>0.3811</v>
      </c>
      <c r="C11" s="1">
        <v>66.84</v>
      </c>
      <c r="D11" s="2">
        <f t="shared" si="1"/>
        <v>0.000600900900900903</v>
      </c>
      <c r="E11" s="2">
        <f t="shared" si="0"/>
        <v>1.114</v>
      </c>
    </row>
    <row r="12" spans="1:13">
      <c r="A12" s="1">
        <v>4.7</v>
      </c>
      <c r="B12" s="1">
        <v>0.3894</v>
      </c>
      <c r="C12" s="1">
        <v>71.67</v>
      </c>
      <c r="D12" s="2">
        <f t="shared" si="1"/>
        <v>0.000675675675675678</v>
      </c>
      <c r="E12" s="2">
        <f t="shared" si="0"/>
        <v>1.1945</v>
      </c>
    </row>
    <row r="13" spans="1:13">
      <c r="A13" s="1">
        <v>4.8</v>
      </c>
      <c r="B13" s="1">
        <v>0.3978</v>
      </c>
      <c r="C13" s="1">
        <v>76.5</v>
      </c>
      <c r="D13" s="2">
        <f t="shared" si="1"/>
        <v>0.000751351351351354</v>
      </c>
      <c r="E13" s="2">
        <f t="shared" si="0"/>
        <v>1.275</v>
      </c>
    </row>
    <row r="14" spans="1:13">
      <c r="A14" s="1">
        <v>4.9</v>
      </c>
      <c r="B14" s="1">
        <v>0.4061</v>
      </c>
      <c r="C14" s="1">
        <v>81.34</v>
      </c>
      <c r="D14" s="2">
        <f t="shared" si="1"/>
        <v>0.000826126126126129</v>
      </c>
      <c r="E14" s="2">
        <f t="shared" si="0"/>
        <v>1.35566666666667</v>
      </c>
    </row>
    <row r="15" spans="1:13">
      <c r="A15" s="1">
        <v>5</v>
      </c>
      <c r="B15" s="1">
        <v>0.4144</v>
      </c>
      <c r="C15" s="1">
        <v>86.17</v>
      </c>
      <c r="D15" s="2">
        <f t="shared" si="1"/>
        <v>0.000900900900900903</v>
      </c>
      <c r="E15" s="2">
        <f t="shared" si="0"/>
        <v>1.43616666666667</v>
      </c>
    </row>
    <row r="16" spans="1:13">
      <c r="A16" s="1">
        <v>5.1</v>
      </c>
      <c r="B16" s="1">
        <v>0.4227</v>
      </c>
      <c r="C16" s="1">
        <v>91</v>
      </c>
      <c r="D16" s="2">
        <f t="shared" si="1"/>
        <v>0.000975675675675678</v>
      </c>
      <c r="E16" s="2">
        <f t="shared" si="0"/>
        <v>1.51666666666667</v>
      </c>
    </row>
    <row r="17" spans="1:13">
      <c r="A17" s="1">
        <v>5.2</v>
      </c>
      <c r="B17" s="1">
        <v>0.4311</v>
      </c>
      <c r="C17" s="1">
        <v>95.03</v>
      </c>
      <c r="D17" s="2">
        <f t="shared" si="1"/>
        <v>0.00105135135135135</v>
      </c>
      <c r="E17" s="2">
        <f t="shared" si="0"/>
        <v>1.58383333333333</v>
      </c>
    </row>
    <row r="18" spans="1:13">
      <c r="A18" s="1">
        <v>5.3</v>
      </c>
      <c r="B18" s="1">
        <v>0.4394</v>
      </c>
      <c r="C18" s="1">
        <v>100.66</v>
      </c>
      <c r="D18" s="2">
        <f t="shared" si="1"/>
        <v>0.00112612612612613</v>
      </c>
      <c r="E18" s="2">
        <f t="shared" si="0"/>
        <v>1.67766666666667</v>
      </c>
    </row>
    <row r="19" spans="1:13">
      <c r="A19" s="1">
        <v>5.4</v>
      </c>
      <c r="B19" s="1">
        <v>0.4477</v>
      </c>
      <c r="C19" s="1">
        <v>105.5</v>
      </c>
      <c r="D19" s="2">
        <f t="shared" si="1"/>
        <v>0.0012009009009009</v>
      </c>
      <c r="E19" s="2">
        <f t="shared" si="0"/>
        <v>1.75833333333333</v>
      </c>
    </row>
    <row r="20" spans="1:13">
      <c r="A20" s="1">
        <v>5.5</v>
      </c>
      <c r="B20" s="1">
        <v>0.4561</v>
      </c>
      <c r="C20" s="1">
        <v>110.33</v>
      </c>
      <c r="D20" s="2">
        <f t="shared" si="1"/>
        <v>0.00127657657657658</v>
      </c>
      <c r="E20" s="2">
        <f t="shared" si="0"/>
        <v>1.83883333333333</v>
      </c>
    </row>
    <row r="21" spans="1:13">
      <c r="A21" s="1">
        <v>5.6</v>
      </c>
      <c r="B21" s="1">
        <v>0.4644</v>
      </c>
      <c r="C21" s="1">
        <v>115.16</v>
      </c>
      <c r="D21" s="2">
        <f t="shared" si="1"/>
        <v>0.00135135135135135</v>
      </c>
      <c r="E21" s="2">
        <f t="shared" si="0"/>
        <v>1.91933333333333</v>
      </c>
    </row>
    <row r="22" spans="1:13">
      <c r="A22" s="1">
        <v>5.7</v>
      </c>
      <c r="B22" s="1">
        <v>0.4728</v>
      </c>
      <c r="C22" s="1">
        <v>119.99</v>
      </c>
      <c r="D22" s="2">
        <f t="shared" si="1"/>
        <v>0.00142702702702703</v>
      </c>
      <c r="E22" s="2">
        <f t="shared" si="0"/>
        <v>1.99983333333333</v>
      </c>
    </row>
    <row r="23" spans="1:13">
      <c r="A23" s="1">
        <v>5.8</v>
      </c>
      <c r="B23" s="1">
        <v>0.4811</v>
      </c>
      <c r="C23" s="1">
        <v>124.82001</v>
      </c>
      <c r="D23" s="2">
        <f t="shared" si="1"/>
        <v>0.0015018018018018</v>
      </c>
      <c r="E23" s="2">
        <f t="shared" si="0"/>
        <v>2.0803335</v>
      </c>
    </row>
    <row r="24" spans="1:13">
      <c r="A24" s="1">
        <v>5.9</v>
      </c>
      <c r="B24" s="1">
        <v>0.4894</v>
      </c>
      <c r="C24" s="1">
        <v>129.66</v>
      </c>
      <c r="D24" s="2">
        <f t="shared" si="1"/>
        <v>0.00157657657657658</v>
      </c>
      <c r="E24" s="2">
        <f t="shared" si="0"/>
        <v>2.161</v>
      </c>
    </row>
    <row r="25" spans="1:13">
      <c r="A25" s="1">
        <v>6</v>
      </c>
      <c r="B25" s="1">
        <v>0.4977</v>
      </c>
      <c r="C25" s="1">
        <v>134.49</v>
      </c>
      <c r="D25" s="2">
        <f t="shared" si="1"/>
        <v>0.00165135135135135</v>
      </c>
      <c r="E25" s="2">
        <f t="shared" si="0"/>
        <v>2.2415</v>
      </c>
    </row>
    <row r="26" spans="1:13">
      <c r="A26" s="1">
        <v>6.1</v>
      </c>
      <c r="B26" s="1">
        <v>0.5061</v>
      </c>
      <c r="C26" s="1">
        <v>139.32</v>
      </c>
      <c r="D26" s="2">
        <f t="shared" si="1"/>
        <v>0.00172702702702703</v>
      </c>
      <c r="E26" s="2">
        <f t="shared" si="0"/>
        <v>2.322</v>
      </c>
      <c r="J26" s="3" t="s">
        <v>14</v>
      </c>
      <c r="K26" s="3"/>
      <c r="L26" s="4">
        <f>MAX(E:E)</f>
        <v>9.19433316666667</v>
      </c>
      <c r="M26" s="3" t="s">
        <v>15</v>
      </c>
    </row>
    <row r="27" spans="1:13">
      <c r="A27" s="1">
        <v>6.2</v>
      </c>
      <c r="B27" s="1">
        <v>0.5144</v>
      </c>
      <c r="C27" s="1">
        <v>144.15</v>
      </c>
      <c r="D27" s="2">
        <f t="shared" si="1"/>
        <v>0.0018018018018018</v>
      </c>
      <c r="E27" s="2">
        <f t="shared" si="0"/>
        <v>2.4025</v>
      </c>
      <c r="J27" s="3" t="s">
        <v>16</v>
      </c>
      <c r="K27" s="3"/>
      <c r="L27" s="3">
        <v>0.00960900900900901</v>
      </c>
      <c r="M27" s="3" t="s">
        <v>17</v>
      </c>
    </row>
    <row r="28" spans="1:13">
      <c r="A28" s="1">
        <v>6.3</v>
      </c>
      <c r="B28" s="1">
        <v>0.5227</v>
      </c>
      <c r="C28" s="1">
        <v>148.99001</v>
      </c>
      <c r="D28" s="2">
        <f t="shared" si="1"/>
        <v>0.00187657657657658</v>
      </c>
      <c r="E28" s="2">
        <f t="shared" si="0"/>
        <v>2.48316683333333</v>
      </c>
    </row>
    <row r="29" spans="1:13">
      <c r="A29" s="1">
        <v>6.4</v>
      </c>
      <c r="B29" s="1">
        <v>0.5311</v>
      </c>
      <c r="C29" s="1">
        <v>153.81999</v>
      </c>
      <c r="D29" s="2">
        <f t="shared" si="1"/>
        <v>0.00195225225225225</v>
      </c>
      <c r="E29" s="2">
        <f t="shared" ref="E29:E92" si="2">C29/$L$4</f>
        <v>2.5636665</v>
      </c>
    </row>
    <row r="30" spans="1:13">
      <c r="A30" s="1">
        <v>6.5</v>
      </c>
      <c r="B30" s="1">
        <v>0.5394</v>
      </c>
      <c r="C30" s="1">
        <v>158.64999</v>
      </c>
      <c r="D30" s="2">
        <f t="shared" si="1"/>
        <v>0.00202702702702703</v>
      </c>
      <c r="E30" s="2">
        <f t="shared" si="2"/>
        <v>2.6441665</v>
      </c>
    </row>
    <row r="31" spans="1:13">
      <c r="A31" s="1">
        <v>6.6</v>
      </c>
      <c r="B31" s="1">
        <v>0.5478</v>
      </c>
      <c r="C31" s="1">
        <v>163.48</v>
      </c>
      <c r="D31" s="2">
        <f t="shared" si="1"/>
        <v>0.00210270270270271</v>
      </c>
      <c r="E31" s="2">
        <f t="shared" si="2"/>
        <v>2.72466666666667</v>
      </c>
    </row>
    <row r="32" spans="1:13">
      <c r="A32" s="1">
        <v>6.7</v>
      </c>
      <c r="B32" s="1">
        <v>0.5561</v>
      </c>
      <c r="C32" s="1">
        <v>168.31</v>
      </c>
      <c r="D32" s="2">
        <f t="shared" si="1"/>
        <v>0.00217747747747748</v>
      </c>
      <c r="E32" s="2">
        <f t="shared" si="2"/>
        <v>2.80516666666667</v>
      </c>
    </row>
    <row r="33" spans="1:5">
      <c r="A33" s="1">
        <v>6.8</v>
      </c>
      <c r="B33" s="1">
        <v>0.5644</v>
      </c>
      <c r="C33" s="1">
        <v>173.15</v>
      </c>
      <c r="D33" s="2">
        <f t="shared" si="1"/>
        <v>0.00225225225225225</v>
      </c>
      <c r="E33" s="2">
        <f t="shared" si="2"/>
        <v>2.88583333333333</v>
      </c>
    </row>
    <row r="34" spans="1:5">
      <c r="A34" s="1">
        <v>6.9</v>
      </c>
      <c r="B34" s="1">
        <v>0.5727</v>
      </c>
      <c r="C34" s="1">
        <v>178.78</v>
      </c>
      <c r="D34" s="2">
        <f t="shared" si="1"/>
        <v>0.00232702702702703</v>
      </c>
      <c r="E34" s="2">
        <f t="shared" si="2"/>
        <v>2.97966666666667</v>
      </c>
    </row>
    <row r="35" spans="1:5">
      <c r="A35" s="1">
        <v>7</v>
      </c>
      <c r="B35" s="1">
        <v>0.5811</v>
      </c>
      <c r="C35" s="1">
        <v>183.62001</v>
      </c>
      <c r="D35" s="2">
        <f t="shared" si="1"/>
        <v>0.00240270270270271</v>
      </c>
      <c r="E35" s="2">
        <f t="shared" si="2"/>
        <v>3.0603335</v>
      </c>
    </row>
    <row r="36" spans="1:5">
      <c r="A36" s="1">
        <v>7.1</v>
      </c>
      <c r="B36" s="1">
        <v>0.5894</v>
      </c>
      <c r="C36" s="1">
        <v>189.25</v>
      </c>
      <c r="D36" s="2">
        <f t="shared" si="1"/>
        <v>0.00247747747747748</v>
      </c>
      <c r="E36" s="2">
        <f t="shared" si="2"/>
        <v>3.15416666666667</v>
      </c>
    </row>
    <row r="37" spans="1:5">
      <c r="A37" s="1">
        <v>7.2</v>
      </c>
      <c r="B37" s="1">
        <v>0.5977</v>
      </c>
      <c r="C37" s="1">
        <v>194.08001</v>
      </c>
      <c r="D37" s="2">
        <f t="shared" si="1"/>
        <v>0.00255225225225225</v>
      </c>
      <c r="E37" s="2">
        <f t="shared" si="2"/>
        <v>3.23466683333333</v>
      </c>
    </row>
    <row r="38" spans="1:5">
      <c r="A38" s="1">
        <v>7.3</v>
      </c>
      <c r="B38" s="1">
        <v>0.6061</v>
      </c>
      <c r="C38" s="1">
        <v>198.92</v>
      </c>
      <c r="D38" s="2">
        <f t="shared" si="1"/>
        <v>0.00262792792792793</v>
      </c>
      <c r="E38" s="2">
        <f t="shared" si="2"/>
        <v>3.31533333333333</v>
      </c>
    </row>
    <row r="39" spans="1:5">
      <c r="A39" s="1">
        <v>7.4</v>
      </c>
      <c r="B39" s="1">
        <v>0.6144</v>
      </c>
      <c r="C39" s="1">
        <v>203.75</v>
      </c>
      <c r="D39" s="2">
        <f t="shared" si="1"/>
        <v>0.00270270270270271</v>
      </c>
      <c r="E39" s="2">
        <f t="shared" si="2"/>
        <v>3.39583333333333</v>
      </c>
    </row>
    <row r="40" spans="1:5">
      <c r="A40" s="1">
        <v>7.5</v>
      </c>
      <c r="B40" s="1">
        <v>0.6228</v>
      </c>
      <c r="C40" s="1">
        <v>208.58</v>
      </c>
      <c r="D40" s="2">
        <f t="shared" si="1"/>
        <v>0.00277837837837838</v>
      </c>
      <c r="E40" s="2">
        <f t="shared" si="2"/>
        <v>3.47633333333333</v>
      </c>
    </row>
    <row r="41" spans="1:5">
      <c r="A41" s="1">
        <v>7.6</v>
      </c>
      <c r="B41" s="1">
        <v>0.6311</v>
      </c>
      <c r="C41" s="1">
        <v>214.22</v>
      </c>
      <c r="D41" s="2">
        <f t="shared" si="1"/>
        <v>0.00285315315315316</v>
      </c>
      <c r="E41" s="2">
        <f t="shared" si="2"/>
        <v>3.57033333333333</v>
      </c>
    </row>
    <row r="42" spans="1:5">
      <c r="A42" s="1">
        <v>7.7</v>
      </c>
      <c r="B42" s="1">
        <v>0.6394</v>
      </c>
      <c r="C42" s="1">
        <v>219.05</v>
      </c>
      <c r="D42" s="2">
        <f t="shared" si="1"/>
        <v>0.00292792792792793</v>
      </c>
      <c r="E42" s="2">
        <f t="shared" si="2"/>
        <v>3.65083333333333</v>
      </c>
    </row>
    <row r="43" spans="1:5">
      <c r="A43" s="1">
        <v>7.8</v>
      </c>
      <c r="B43" s="1">
        <v>0.6477</v>
      </c>
      <c r="C43" s="1">
        <v>224.69</v>
      </c>
      <c r="D43" s="2">
        <f t="shared" si="1"/>
        <v>0.00300270270270271</v>
      </c>
      <c r="E43" s="2">
        <f t="shared" si="2"/>
        <v>3.74483333333333</v>
      </c>
    </row>
    <row r="44" spans="1:5">
      <c r="A44" s="1">
        <v>7.9</v>
      </c>
      <c r="B44" s="1">
        <v>0.6561</v>
      </c>
      <c r="C44" s="1">
        <v>229.52001</v>
      </c>
      <c r="D44" s="2">
        <f t="shared" si="1"/>
        <v>0.00307837837837838</v>
      </c>
      <c r="E44" s="2">
        <f t="shared" si="2"/>
        <v>3.8253335</v>
      </c>
    </row>
    <row r="45" spans="1:5">
      <c r="A45" s="1">
        <v>8</v>
      </c>
      <c r="B45" s="1">
        <v>0.6644</v>
      </c>
      <c r="C45" s="1">
        <v>235.15999</v>
      </c>
      <c r="D45" s="2">
        <f t="shared" si="1"/>
        <v>0.00315315315315316</v>
      </c>
      <c r="E45" s="2">
        <f t="shared" si="2"/>
        <v>3.91933316666667</v>
      </c>
    </row>
    <row r="46" spans="1:5">
      <c r="A46" s="1">
        <v>8.1</v>
      </c>
      <c r="B46" s="1">
        <v>0.6727</v>
      </c>
      <c r="C46" s="1">
        <v>240.80001</v>
      </c>
      <c r="D46" s="2">
        <f t="shared" si="1"/>
        <v>0.00322792792792793</v>
      </c>
      <c r="E46" s="2">
        <f t="shared" si="2"/>
        <v>4.0133335</v>
      </c>
    </row>
    <row r="47" spans="1:5">
      <c r="A47" s="1">
        <v>8.2</v>
      </c>
      <c r="B47" s="1">
        <v>0.6811</v>
      </c>
      <c r="C47" s="1">
        <v>244.82</v>
      </c>
      <c r="D47" s="2">
        <f t="shared" si="1"/>
        <v>0.00330360360360361</v>
      </c>
      <c r="E47" s="2">
        <f t="shared" si="2"/>
        <v>4.08033333333333</v>
      </c>
    </row>
    <row r="48" spans="1:5">
      <c r="A48" s="1">
        <v>8.3</v>
      </c>
      <c r="B48" s="1">
        <v>0.6894</v>
      </c>
      <c r="C48" s="1">
        <v>250.46001</v>
      </c>
      <c r="D48" s="2">
        <f t="shared" si="1"/>
        <v>0.00337837837837838</v>
      </c>
      <c r="E48" s="2">
        <f t="shared" si="2"/>
        <v>4.1743335</v>
      </c>
    </row>
    <row r="49" spans="1:5">
      <c r="A49" s="1">
        <v>8.4</v>
      </c>
      <c r="B49" s="1">
        <v>0.6978</v>
      </c>
      <c r="C49" s="1">
        <v>255.29</v>
      </c>
      <c r="D49" s="2">
        <f t="shared" si="1"/>
        <v>0.00345405405405406</v>
      </c>
      <c r="E49" s="2">
        <f t="shared" si="2"/>
        <v>4.25483333333333</v>
      </c>
    </row>
    <row r="50" spans="1:5">
      <c r="A50" s="1">
        <v>8.5</v>
      </c>
      <c r="B50" s="1">
        <v>0.7061</v>
      </c>
      <c r="C50" s="1">
        <v>260.92999</v>
      </c>
      <c r="D50" s="2">
        <f t="shared" si="1"/>
        <v>0.00352882882882883</v>
      </c>
      <c r="E50" s="2">
        <f t="shared" si="2"/>
        <v>4.34883316666667</v>
      </c>
    </row>
    <row r="51" spans="1:5">
      <c r="A51" s="1">
        <v>8.6</v>
      </c>
      <c r="B51" s="1">
        <v>0.7144</v>
      </c>
      <c r="C51" s="1">
        <v>265.76</v>
      </c>
      <c r="D51" s="2">
        <f t="shared" si="1"/>
        <v>0.00360360360360361</v>
      </c>
      <c r="E51" s="2">
        <f t="shared" si="2"/>
        <v>4.42933333333333</v>
      </c>
    </row>
    <row r="52" spans="1:5">
      <c r="A52" s="1">
        <v>8.7</v>
      </c>
      <c r="B52" s="1">
        <v>0.7227</v>
      </c>
      <c r="C52" s="1">
        <v>270.58999</v>
      </c>
      <c r="D52" s="2">
        <f t="shared" si="1"/>
        <v>0.00367837837837838</v>
      </c>
      <c r="E52" s="2">
        <f t="shared" si="2"/>
        <v>4.50983316666667</v>
      </c>
    </row>
    <row r="53" spans="1:5">
      <c r="A53" s="1">
        <v>8.8</v>
      </c>
      <c r="B53" s="1">
        <v>0.7311</v>
      </c>
      <c r="C53" s="1">
        <v>276.23001</v>
      </c>
      <c r="D53" s="2">
        <f t="shared" si="1"/>
        <v>0.00375405405405406</v>
      </c>
      <c r="E53" s="2">
        <f t="shared" si="2"/>
        <v>4.6038335</v>
      </c>
    </row>
    <row r="54" spans="1:5">
      <c r="A54" s="1">
        <v>8.9</v>
      </c>
      <c r="B54" s="1">
        <v>0.7394</v>
      </c>
      <c r="C54" s="1">
        <v>281.05999</v>
      </c>
      <c r="D54" s="2">
        <f t="shared" si="1"/>
        <v>0.00382882882882883</v>
      </c>
      <c r="E54" s="2">
        <f t="shared" si="2"/>
        <v>4.68433316666667</v>
      </c>
    </row>
    <row r="55" spans="1:5">
      <c r="A55" s="1">
        <v>9</v>
      </c>
      <c r="B55" s="1">
        <v>0.7477</v>
      </c>
      <c r="C55" s="1">
        <v>285.89001</v>
      </c>
      <c r="D55" s="2">
        <f t="shared" si="1"/>
        <v>0.00390360360360361</v>
      </c>
      <c r="E55" s="2">
        <f t="shared" si="2"/>
        <v>4.7648335</v>
      </c>
    </row>
    <row r="56" spans="1:5">
      <c r="A56" s="1">
        <v>9.1</v>
      </c>
      <c r="B56" s="1">
        <v>0.7561</v>
      </c>
      <c r="C56" s="1">
        <v>290.73</v>
      </c>
      <c r="D56" s="2">
        <f t="shared" si="1"/>
        <v>0.00397927927927928</v>
      </c>
      <c r="E56" s="2">
        <f t="shared" si="2"/>
        <v>4.8455</v>
      </c>
    </row>
    <row r="57" spans="1:5">
      <c r="A57" s="1">
        <v>9.2</v>
      </c>
      <c r="B57" s="1">
        <v>0.7644</v>
      </c>
      <c r="C57" s="1">
        <v>296.36001</v>
      </c>
      <c r="D57" s="2">
        <f t="shared" si="1"/>
        <v>0.00405405405405406</v>
      </c>
      <c r="E57" s="2">
        <f t="shared" si="2"/>
        <v>4.9393335</v>
      </c>
    </row>
    <row r="58" spans="1:5">
      <c r="A58" s="1">
        <v>9.3</v>
      </c>
      <c r="B58" s="1">
        <v>0.7728</v>
      </c>
      <c r="C58" s="1">
        <v>300.39</v>
      </c>
      <c r="D58" s="2">
        <f t="shared" si="1"/>
        <v>0.00412972972972973</v>
      </c>
      <c r="E58" s="2">
        <f t="shared" si="2"/>
        <v>5.0065</v>
      </c>
    </row>
    <row r="59" spans="1:5">
      <c r="A59" s="1">
        <v>9.4</v>
      </c>
      <c r="B59" s="1">
        <v>0.7811</v>
      </c>
      <c r="C59" s="1">
        <v>305.21999</v>
      </c>
      <c r="D59" s="2">
        <f t="shared" si="1"/>
        <v>0.00420450450450451</v>
      </c>
      <c r="E59" s="2">
        <f t="shared" si="2"/>
        <v>5.08699983333333</v>
      </c>
    </row>
    <row r="60" spans="1:5">
      <c r="A60" s="1">
        <v>9.5</v>
      </c>
      <c r="B60" s="1">
        <v>0.7894</v>
      </c>
      <c r="C60" s="1">
        <v>310.86001</v>
      </c>
      <c r="D60" s="2">
        <f t="shared" si="1"/>
        <v>0.00427927927927928</v>
      </c>
      <c r="E60" s="2">
        <f t="shared" si="2"/>
        <v>5.18100016666667</v>
      </c>
    </row>
    <row r="61" spans="1:5">
      <c r="A61" s="1">
        <v>9.6</v>
      </c>
      <c r="B61" s="1">
        <v>0.7978</v>
      </c>
      <c r="C61" s="1">
        <v>315.68999</v>
      </c>
      <c r="D61" s="2">
        <f t="shared" si="1"/>
        <v>0.00435495495495496</v>
      </c>
      <c r="E61" s="2">
        <f t="shared" si="2"/>
        <v>5.26149983333333</v>
      </c>
    </row>
    <row r="62" spans="1:5">
      <c r="A62" s="1">
        <v>9.7</v>
      </c>
      <c r="B62" s="1">
        <v>0.8061</v>
      </c>
      <c r="C62" s="1">
        <v>320.53001</v>
      </c>
      <c r="D62" s="2">
        <f t="shared" si="1"/>
        <v>0.00442972972972973</v>
      </c>
      <c r="E62" s="2">
        <f t="shared" si="2"/>
        <v>5.34216683333333</v>
      </c>
    </row>
    <row r="63" spans="1:5">
      <c r="A63" s="1">
        <v>9.8</v>
      </c>
      <c r="B63" s="1">
        <v>0.8144</v>
      </c>
      <c r="C63" s="1">
        <v>325.36</v>
      </c>
      <c r="D63" s="2">
        <f t="shared" si="1"/>
        <v>0.00450450450450451</v>
      </c>
      <c r="E63" s="2">
        <f t="shared" si="2"/>
        <v>5.42266666666667</v>
      </c>
    </row>
    <row r="64" spans="1:5">
      <c r="A64" s="1">
        <v>9.9</v>
      </c>
      <c r="B64" s="1">
        <v>0.8227</v>
      </c>
      <c r="C64" s="1">
        <v>330.18999</v>
      </c>
      <c r="D64" s="2">
        <f t="shared" si="1"/>
        <v>0.00457927927927928</v>
      </c>
      <c r="E64" s="2">
        <f t="shared" si="2"/>
        <v>5.5031665</v>
      </c>
    </row>
    <row r="65" spans="1:5">
      <c r="A65" s="1">
        <v>10</v>
      </c>
      <c r="B65" s="1">
        <v>0.8311</v>
      </c>
      <c r="C65" s="1">
        <v>335.02</v>
      </c>
      <c r="D65" s="2">
        <f t="shared" si="1"/>
        <v>0.00465495495495496</v>
      </c>
      <c r="E65" s="2">
        <f t="shared" si="2"/>
        <v>5.58366666666667</v>
      </c>
    </row>
    <row r="66" spans="1:5">
      <c r="A66" s="1">
        <v>10.1</v>
      </c>
      <c r="B66" s="1">
        <v>0.8394</v>
      </c>
      <c r="C66" s="1">
        <v>339.84999</v>
      </c>
      <c r="D66" s="2">
        <f t="shared" si="1"/>
        <v>0.00472972972972973</v>
      </c>
      <c r="E66" s="2">
        <f t="shared" si="2"/>
        <v>5.6641665</v>
      </c>
    </row>
    <row r="67" spans="1:5">
      <c r="A67" s="1">
        <v>10.2</v>
      </c>
      <c r="B67" s="1">
        <v>0.8477</v>
      </c>
      <c r="C67" s="1">
        <v>344.69001</v>
      </c>
      <c r="D67" s="2">
        <f t="shared" si="1"/>
        <v>0.00480450450450451</v>
      </c>
      <c r="E67" s="2">
        <f t="shared" si="2"/>
        <v>5.7448335</v>
      </c>
    </row>
    <row r="68" spans="1:5">
      <c r="A68" s="1">
        <v>10.3</v>
      </c>
      <c r="B68" s="1">
        <v>0.8561</v>
      </c>
      <c r="C68" s="1">
        <v>349.52</v>
      </c>
      <c r="D68" s="2">
        <f t="shared" ref="D68:D131" si="3">((B68/$L$3))-0.00283243243243243</f>
        <v>0.00488018018018018</v>
      </c>
      <c r="E68" s="2">
        <f t="shared" si="2"/>
        <v>5.82533333333333</v>
      </c>
    </row>
    <row r="69" spans="1:5">
      <c r="A69" s="1">
        <v>10.4</v>
      </c>
      <c r="B69" s="1">
        <v>0.8644</v>
      </c>
      <c r="C69" s="1">
        <v>354.35001</v>
      </c>
      <c r="D69" s="2">
        <f t="shared" si="3"/>
        <v>0.00495495495495496</v>
      </c>
      <c r="E69" s="2">
        <f t="shared" si="2"/>
        <v>5.9058335</v>
      </c>
    </row>
    <row r="70" spans="1:5">
      <c r="A70" s="1">
        <v>10.5</v>
      </c>
      <c r="B70" s="1">
        <v>0.8728</v>
      </c>
      <c r="C70" s="1">
        <v>358.38</v>
      </c>
      <c r="D70" s="2">
        <f t="shared" si="3"/>
        <v>0.00503063063063063</v>
      </c>
      <c r="E70" s="2">
        <f t="shared" si="2"/>
        <v>5.973</v>
      </c>
    </row>
    <row r="71" spans="1:5">
      <c r="A71" s="1">
        <v>10.6</v>
      </c>
      <c r="B71" s="1">
        <v>0.8811</v>
      </c>
      <c r="C71" s="1">
        <v>363.20999</v>
      </c>
      <c r="D71" s="2">
        <f t="shared" si="3"/>
        <v>0.00510540540540541</v>
      </c>
      <c r="E71" s="2">
        <f t="shared" si="2"/>
        <v>6.05349983333333</v>
      </c>
    </row>
    <row r="72" spans="1:5">
      <c r="A72" s="1">
        <v>10.7</v>
      </c>
      <c r="B72" s="1">
        <v>0.8894</v>
      </c>
      <c r="C72" s="1">
        <v>368.04001</v>
      </c>
      <c r="D72" s="2">
        <f t="shared" si="3"/>
        <v>0.00518018018018018</v>
      </c>
      <c r="E72" s="2">
        <f t="shared" si="2"/>
        <v>6.13400016666667</v>
      </c>
    </row>
    <row r="73" spans="1:5">
      <c r="A73" s="1">
        <v>10.8</v>
      </c>
      <c r="B73" s="1">
        <v>0.8977</v>
      </c>
      <c r="C73" s="1">
        <v>372.07</v>
      </c>
      <c r="D73" s="2">
        <f t="shared" si="3"/>
        <v>0.00525495495495496</v>
      </c>
      <c r="E73" s="2">
        <f t="shared" si="2"/>
        <v>6.20116666666667</v>
      </c>
    </row>
    <row r="74" spans="1:5">
      <c r="A74" s="1">
        <v>10.9</v>
      </c>
      <c r="B74" s="1">
        <v>0.9061</v>
      </c>
      <c r="C74" s="1">
        <v>376.89999</v>
      </c>
      <c r="D74" s="2">
        <f t="shared" si="3"/>
        <v>0.00533063063063063</v>
      </c>
      <c r="E74" s="2">
        <f t="shared" si="2"/>
        <v>6.2816665</v>
      </c>
    </row>
    <row r="75" spans="1:5">
      <c r="A75" s="1">
        <v>11</v>
      </c>
      <c r="B75" s="1">
        <v>0.9144</v>
      </c>
      <c r="C75" s="1">
        <v>380.93001</v>
      </c>
      <c r="D75" s="2">
        <f t="shared" si="3"/>
        <v>0.00540540540540541</v>
      </c>
      <c r="E75" s="2">
        <f t="shared" si="2"/>
        <v>6.3488335</v>
      </c>
    </row>
    <row r="76" spans="1:5">
      <c r="A76" s="1">
        <v>11.1</v>
      </c>
      <c r="B76" s="1">
        <v>0.9227</v>
      </c>
      <c r="C76" s="1">
        <v>385.75999</v>
      </c>
      <c r="D76" s="2">
        <f t="shared" si="3"/>
        <v>0.00548018018018018</v>
      </c>
      <c r="E76" s="2">
        <f t="shared" si="2"/>
        <v>6.42933316666667</v>
      </c>
    </row>
    <row r="77" spans="1:5">
      <c r="A77" s="1">
        <v>11.2</v>
      </c>
      <c r="B77" s="1">
        <v>0.9311</v>
      </c>
      <c r="C77" s="1">
        <v>389.79001</v>
      </c>
      <c r="D77" s="2">
        <f t="shared" si="3"/>
        <v>0.00555585585585586</v>
      </c>
      <c r="E77" s="2">
        <f t="shared" si="2"/>
        <v>6.49650016666667</v>
      </c>
    </row>
    <row r="78" spans="1:5">
      <c r="A78" s="1">
        <v>11.3</v>
      </c>
      <c r="B78" s="1">
        <v>0.9394</v>
      </c>
      <c r="C78" s="1">
        <v>394.62</v>
      </c>
      <c r="D78" s="2">
        <f t="shared" si="3"/>
        <v>0.00563063063063063</v>
      </c>
      <c r="E78" s="2">
        <f t="shared" si="2"/>
        <v>6.577</v>
      </c>
    </row>
    <row r="79" spans="1:5">
      <c r="A79" s="1">
        <v>11.4</v>
      </c>
      <c r="B79" s="1">
        <v>0.9478</v>
      </c>
      <c r="C79" s="1">
        <v>398.63999</v>
      </c>
      <c r="D79" s="2">
        <f t="shared" si="3"/>
        <v>0.00570630630630631</v>
      </c>
      <c r="E79" s="2">
        <f t="shared" si="2"/>
        <v>6.64399983333333</v>
      </c>
    </row>
    <row r="80" spans="1:5">
      <c r="A80" s="1">
        <v>11.5</v>
      </c>
      <c r="B80" s="1">
        <v>0.9561</v>
      </c>
      <c r="C80" s="1">
        <v>403.48001</v>
      </c>
      <c r="D80" s="2">
        <f t="shared" si="3"/>
        <v>0.00578108108108108</v>
      </c>
      <c r="E80" s="2">
        <f t="shared" si="2"/>
        <v>6.72466683333333</v>
      </c>
    </row>
    <row r="81" spans="1:5">
      <c r="A81" s="1">
        <v>11.6</v>
      </c>
      <c r="B81" s="1">
        <v>0.9644</v>
      </c>
      <c r="C81" s="1">
        <v>407.5</v>
      </c>
      <c r="D81" s="2">
        <f t="shared" si="3"/>
        <v>0.00585585585585586</v>
      </c>
      <c r="E81" s="2">
        <f t="shared" si="2"/>
        <v>6.79166666666667</v>
      </c>
    </row>
    <row r="82" spans="1:5">
      <c r="A82" s="1">
        <v>11.7</v>
      </c>
      <c r="B82" s="1">
        <v>0.9727</v>
      </c>
      <c r="C82" s="1">
        <v>411.52999</v>
      </c>
      <c r="D82" s="2">
        <f t="shared" si="3"/>
        <v>0.00593063063063063</v>
      </c>
      <c r="E82" s="2">
        <f t="shared" si="2"/>
        <v>6.85883316666667</v>
      </c>
    </row>
    <row r="83" spans="1:5">
      <c r="A83" s="1">
        <v>11.8</v>
      </c>
      <c r="B83" s="1">
        <v>0.9811</v>
      </c>
      <c r="C83" s="1">
        <v>416.36</v>
      </c>
      <c r="D83" s="2">
        <f t="shared" si="3"/>
        <v>0.00600630630630631</v>
      </c>
      <c r="E83" s="2">
        <f t="shared" si="2"/>
        <v>6.93933333333333</v>
      </c>
    </row>
    <row r="84" spans="1:5">
      <c r="A84" s="1">
        <v>11.9</v>
      </c>
      <c r="B84" s="1">
        <v>0.9894</v>
      </c>
      <c r="C84" s="1">
        <v>421.18999</v>
      </c>
      <c r="D84" s="2">
        <f t="shared" si="3"/>
        <v>0.00608108108108108</v>
      </c>
      <c r="E84" s="2">
        <f t="shared" si="2"/>
        <v>7.01983316666667</v>
      </c>
    </row>
    <row r="85" spans="1:5">
      <c r="A85" s="1">
        <v>12</v>
      </c>
      <c r="B85" s="1">
        <v>0.9977</v>
      </c>
      <c r="C85" s="1">
        <v>424.41999</v>
      </c>
      <c r="D85" s="2">
        <f t="shared" si="3"/>
        <v>0.00615585585585586</v>
      </c>
      <c r="E85" s="2">
        <f t="shared" si="2"/>
        <v>7.0736665</v>
      </c>
    </row>
    <row r="86" spans="1:5">
      <c r="A86" s="1">
        <v>12.1</v>
      </c>
      <c r="B86" s="1">
        <v>1.006</v>
      </c>
      <c r="C86" s="1">
        <v>428.44</v>
      </c>
      <c r="D86" s="2">
        <f t="shared" si="3"/>
        <v>0.00623063063063063</v>
      </c>
      <c r="E86" s="2">
        <f t="shared" si="2"/>
        <v>7.14066666666667</v>
      </c>
    </row>
    <row r="87" spans="1:5">
      <c r="A87" s="1">
        <v>12.2</v>
      </c>
      <c r="B87" s="1">
        <v>1.0144</v>
      </c>
      <c r="C87" s="1">
        <v>432.46999</v>
      </c>
      <c r="D87" s="2">
        <f t="shared" si="3"/>
        <v>0.00630630630630631</v>
      </c>
      <c r="E87" s="2">
        <f t="shared" si="2"/>
        <v>7.20783316666667</v>
      </c>
    </row>
    <row r="88" spans="1:5">
      <c r="A88" s="1">
        <v>12.3</v>
      </c>
      <c r="B88" s="1">
        <v>1.0228</v>
      </c>
      <c r="C88" s="1">
        <v>437.30001</v>
      </c>
      <c r="D88" s="2">
        <f t="shared" si="3"/>
        <v>0.00638198198198198</v>
      </c>
      <c r="E88" s="2">
        <f t="shared" si="2"/>
        <v>7.2883335</v>
      </c>
    </row>
    <row r="89" spans="1:5">
      <c r="A89" s="1">
        <v>12.4</v>
      </c>
      <c r="B89" s="1">
        <v>1.0311</v>
      </c>
      <c r="C89" s="1">
        <v>441.33</v>
      </c>
      <c r="D89" s="2">
        <f t="shared" si="3"/>
        <v>0.00645675675675676</v>
      </c>
      <c r="E89" s="2">
        <f t="shared" si="2"/>
        <v>7.3555</v>
      </c>
    </row>
    <row r="90" spans="1:5">
      <c r="A90" s="1">
        <v>12.5</v>
      </c>
      <c r="B90" s="1">
        <v>1.0394</v>
      </c>
      <c r="C90" s="1">
        <v>445.34999</v>
      </c>
      <c r="D90" s="2">
        <f t="shared" si="3"/>
        <v>0.00653153153153154</v>
      </c>
      <c r="E90" s="2">
        <f t="shared" si="2"/>
        <v>7.42249983333333</v>
      </c>
    </row>
    <row r="91" spans="1:5">
      <c r="A91" s="1">
        <v>12.6</v>
      </c>
      <c r="B91" s="1">
        <v>1.0477</v>
      </c>
      <c r="C91" s="1">
        <v>449.38001</v>
      </c>
      <c r="D91" s="2">
        <f t="shared" si="3"/>
        <v>0.00660630630630631</v>
      </c>
      <c r="E91" s="2">
        <f t="shared" si="2"/>
        <v>7.48966683333333</v>
      </c>
    </row>
    <row r="92" spans="1:5">
      <c r="A92" s="1">
        <v>12.7</v>
      </c>
      <c r="B92" s="1">
        <v>1.0561</v>
      </c>
      <c r="C92" s="1">
        <v>452.6</v>
      </c>
      <c r="D92" s="2">
        <f t="shared" si="3"/>
        <v>0.00668198198198199</v>
      </c>
      <c r="E92" s="2">
        <f t="shared" si="2"/>
        <v>7.54333333333333</v>
      </c>
    </row>
    <row r="93" spans="1:5">
      <c r="A93" s="1">
        <v>12.8</v>
      </c>
      <c r="B93" s="1">
        <v>1.0644</v>
      </c>
      <c r="C93" s="1">
        <v>456.62999</v>
      </c>
      <c r="D93" s="2">
        <f t="shared" si="3"/>
        <v>0.00675675675675676</v>
      </c>
      <c r="E93" s="2">
        <f t="shared" ref="E93:E146" si="4">C93/$L$4</f>
        <v>7.61049983333333</v>
      </c>
    </row>
    <row r="94" spans="1:5">
      <c r="A94" s="1">
        <v>12.9</v>
      </c>
      <c r="B94" s="1">
        <v>1.0727</v>
      </c>
      <c r="C94" s="1">
        <v>460.66001</v>
      </c>
      <c r="D94" s="2">
        <f t="shared" si="3"/>
        <v>0.00683153153153153</v>
      </c>
      <c r="E94" s="2">
        <f t="shared" si="4"/>
        <v>7.67766683333333</v>
      </c>
    </row>
    <row r="95" spans="1:5">
      <c r="A95" s="1">
        <v>13</v>
      </c>
      <c r="B95" s="1">
        <v>1.081</v>
      </c>
      <c r="C95" s="1">
        <v>463.88</v>
      </c>
      <c r="D95" s="2">
        <f t="shared" si="3"/>
        <v>0.00690630630630631</v>
      </c>
      <c r="E95" s="2">
        <f t="shared" si="4"/>
        <v>7.73133333333333</v>
      </c>
    </row>
    <row r="96" spans="1:5">
      <c r="A96" s="1">
        <v>13.1</v>
      </c>
      <c r="B96" s="1">
        <v>1.0894</v>
      </c>
      <c r="C96" s="1">
        <v>467.89999</v>
      </c>
      <c r="D96" s="2">
        <f t="shared" si="3"/>
        <v>0.00698198198198198</v>
      </c>
      <c r="E96" s="2">
        <f t="shared" si="4"/>
        <v>7.79833316666667</v>
      </c>
    </row>
    <row r="97" spans="1:5">
      <c r="A97" s="1">
        <v>13.2</v>
      </c>
      <c r="B97" s="1">
        <v>1.0978</v>
      </c>
      <c r="C97" s="1">
        <v>471.92998</v>
      </c>
      <c r="D97" s="2">
        <f t="shared" si="3"/>
        <v>0.00705765765765766</v>
      </c>
      <c r="E97" s="2">
        <f t="shared" si="4"/>
        <v>7.86549966666667</v>
      </c>
    </row>
    <row r="98" spans="1:5">
      <c r="A98" s="1">
        <v>13.3</v>
      </c>
      <c r="B98" s="1">
        <v>1.1061</v>
      </c>
      <c r="C98" s="1">
        <v>475.14997</v>
      </c>
      <c r="D98" s="2">
        <f t="shared" si="3"/>
        <v>0.00713243243243244</v>
      </c>
      <c r="E98" s="2">
        <f t="shared" si="4"/>
        <v>7.91916616666667</v>
      </c>
    </row>
    <row r="99" spans="1:5">
      <c r="A99" s="1">
        <v>13.4</v>
      </c>
      <c r="B99" s="1">
        <v>1.1144</v>
      </c>
      <c r="C99" s="1">
        <v>479.17999</v>
      </c>
      <c r="D99" s="2">
        <f t="shared" si="3"/>
        <v>0.00720720720720721</v>
      </c>
      <c r="E99" s="2">
        <f t="shared" si="4"/>
        <v>7.98633316666667</v>
      </c>
    </row>
    <row r="100" spans="1:5">
      <c r="A100" s="1">
        <v>13.5</v>
      </c>
      <c r="B100" s="1">
        <v>1.1227</v>
      </c>
      <c r="C100" s="1">
        <v>482.39999</v>
      </c>
      <c r="D100" s="2">
        <f t="shared" si="3"/>
        <v>0.00728198198198199</v>
      </c>
      <c r="E100" s="2">
        <f t="shared" si="4"/>
        <v>8.03999983333333</v>
      </c>
    </row>
    <row r="101" spans="1:5">
      <c r="A101" s="1">
        <v>13.6</v>
      </c>
      <c r="B101" s="1">
        <v>1.1311</v>
      </c>
      <c r="C101" s="1">
        <v>486.43</v>
      </c>
      <c r="D101" s="2">
        <f t="shared" si="3"/>
        <v>0.00735765765765766</v>
      </c>
      <c r="E101" s="2">
        <f t="shared" si="4"/>
        <v>8.10716666666667</v>
      </c>
    </row>
    <row r="102" spans="1:5">
      <c r="A102" s="1">
        <v>13.7</v>
      </c>
      <c r="B102" s="1">
        <v>1.1394</v>
      </c>
      <c r="C102" s="1">
        <v>489.65</v>
      </c>
      <c r="D102" s="2">
        <f t="shared" si="3"/>
        <v>0.00743243243243243</v>
      </c>
      <c r="E102" s="2">
        <f t="shared" si="4"/>
        <v>8.16083333333333</v>
      </c>
    </row>
    <row r="103" spans="1:5">
      <c r="A103" s="1">
        <v>13.8</v>
      </c>
      <c r="B103" s="1">
        <v>1.1477</v>
      </c>
      <c r="C103" s="1">
        <v>492.86999</v>
      </c>
      <c r="D103" s="2">
        <f t="shared" si="3"/>
        <v>0.00750720720720721</v>
      </c>
      <c r="E103" s="2">
        <f t="shared" si="4"/>
        <v>8.21449983333333</v>
      </c>
    </row>
    <row r="104" spans="1:5">
      <c r="A104" s="1">
        <v>13.9</v>
      </c>
      <c r="B104" s="1">
        <v>1.156</v>
      </c>
      <c r="C104" s="1">
        <v>496.90001</v>
      </c>
      <c r="D104" s="2">
        <f t="shared" si="3"/>
        <v>0.00758198198198198</v>
      </c>
      <c r="E104" s="2">
        <f t="shared" si="4"/>
        <v>8.28166683333333</v>
      </c>
    </row>
    <row r="105" spans="1:5">
      <c r="A105" s="1">
        <v>14</v>
      </c>
      <c r="B105" s="1">
        <v>1.1644</v>
      </c>
      <c r="C105" s="1">
        <v>500.12</v>
      </c>
      <c r="D105" s="2">
        <f t="shared" si="3"/>
        <v>0.00765765765765766</v>
      </c>
      <c r="E105" s="2">
        <f t="shared" si="4"/>
        <v>8.33533333333333</v>
      </c>
    </row>
    <row r="106" spans="1:5">
      <c r="A106" s="1">
        <v>14.1</v>
      </c>
      <c r="B106" s="1">
        <v>1.1728</v>
      </c>
      <c r="C106" s="1">
        <v>503.33999</v>
      </c>
      <c r="D106" s="2">
        <f t="shared" si="3"/>
        <v>0.00773333333333334</v>
      </c>
      <c r="E106" s="2">
        <f t="shared" si="4"/>
        <v>8.38899983333333</v>
      </c>
    </row>
    <row r="107" spans="1:5">
      <c r="A107" s="1">
        <v>14.2</v>
      </c>
      <c r="B107" s="1">
        <v>1.1811</v>
      </c>
      <c r="C107" s="1">
        <v>506.55998</v>
      </c>
      <c r="D107" s="2">
        <f t="shared" si="3"/>
        <v>0.00780810810810811</v>
      </c>
      <c r="E107" s="2">
        <f t="shared" si="4"/>
        <v>8.44266633333333</v>
      </c>
    </row>
    <row r="108" spans="1:5">
      <c r="A108" s="1">
        <v>14.3</v>
      </c>
      <c r="B108" s="1">
        <v>1.1894</v>
      </c>
      <c r="C108" s="1">
        <v>509.77997</v>
      </c>
      <c r="D108" s="2">
        <f t="shared" si="3"/>
        <v>0.00788288288288289</v>
      </c>
      <c r="E108" s="2">
        <f t="shared" si="4"/>
        <v>8.49633283333333</v>
      </c>
    </row>
    <row r="109" spans="1:5">
      <c r="A109" s="1">
        <v>14.4</v>
      </c>
      <c r="B109" s="1">
        <v>1.1977</v>
      </c>
      <c r="C109" s="1">
        <v>512.2</v>
      </c>
      <c r="D109" s="2">
        <f t="shared" si="3"/>
        <v>0.00795765765765766</v>
      </c>
      <c r="E109" s="2">
        <f t="shared" si="4"/>
        <v>8.53666666666667</v>
      </c>
    </row>
    <row r="110" spans="1:5">
      <c r="A110" s="1">
        <v>14.5</v>
      </c>
      <c r="B110" s="1">
        <v>1.2061</v>
      </c>
      <c r="C110" s="1">
        <v>515.41999</v>
      </c>
      <c r="D110" s="2">
        <f t="shared" si="3"/>
        <v>0.00803333333333334</v>
      </c>
      <c r="E110" s="2">
        <f t="shared" si="4"/>
        <v>8.59033316666667</v>
      </c>
    </row>
    <row r="111" spans="1:5">
      <c r="A111" s="1">
        <v>14.6</v>
      </c>
      <c r="B111" s="1">
        <v>1.2144</v>
      </c>
      <c r="C111" s="1">
        <v>518.63998</v>
      </c>
      <c r="D111" s="2">
        <f t="shared" si="3"/>
        <v>0.00810810810810811</v>
      </c>
      <c r="E111" s="2">
        <f t="shared" si="4"/>
        <v>8.64399966666667</v>
      </c>
    </row>
    <row r="112" spans="1:5">
      <c r="A112" s="1">
        <v>14.7</v>
      </c>
      <c r="B112" s="1">
        <v>1.2227</v>
      </c>
      <c r="C112" s="1">
        <v>521.85997</v>
      </c>
      <c r="D112" s="2">
        <f t="shared" si="3"/>
        <v>0.00818288288288289</v>
      </c>
      <c r="E112" s="2">
        <f t="shared" si="4"/>
        <v>8.69766616666667</v>
      </c>
    </row>
    <row r="113" spans="1:5">
      <c r="A113" s="1">
        <v>14.8</v>
      </c>
      <c r="B113" s="1">
        <v>1.231</v>
      </c>
      <c r="C113" s="1">
        <v>524.28</v>
      </c>
      <c r="D113" s="2">
        <f t="shared" si="3"/>
        <v>0.00825765765765766</v>
      </c>
      <c r="E113" s="2">
        <f t="shared" si="4"/>
        <v>8.738</v>
      </c>
    </row>
    <row r="114" spans="1:5">
      <c r="A114" s="1">
        <v>14.9</v>
      </c>
      <c r="B114" s="1">
        <v>1.2394</v>
      </c>
      <c r="C114" s="1">
        <v>527.49999</v>
      </c>
      <c r="D114" s="2">
        <f t="shared" si="3"/>
        <v>0.00833333333333334</v>
      </c>
      <c r="E114" s="2">
        <f t="shared" si="4"/>
        <v>8.7916665</v>
      </c>
    </row>
    <row r="115" spans="1:5">
      <c r="A115" s="1">
        <v>15</v>
      </c>
      <c r="B115" s="1">
        <v>1.2478</v>
      </c>
      <c r="C115" s="1">
        <v>529.92001</v>
      </c>
      <c r="D115" s="2">
        <f t="shared" si="3"/>
        <v>0.00840900900900901</v>
      </c>
      <c r="E115" s="2">
        <f t="shared" si="4"/>
        <v>8.83200016666667</v>
      </c>
    </row>
    <row r="116" spans="1:5">
      <c r="A116" s="1">
        <v>15.1</v>
      </c>
      <c r="B116" s="1">
        <v>1.2561</v>
      </c>
      <c r="C116" s="1">
        <v>532.32998</v>
      </c>
      <c r="D116" s="2">
        <f t="shared" si="3"/>
        <v>0.00848378378378379</v>
      </c>
      <c r="E116" s="2">
        <f t="shared" si="4"/>
        <v>8.87216633333333</v>
      </c>
    </row>
    <row r="117" spans="1:5">
      <c r="A117" s="1">
        <v>15.2</v>
      </c>
      <c r="B117" s="1">
        <v>1.2644</v>
      </c>
      <c r="C117" s="1">
        <v>534.75</v>
      </c>
      <c r="D117" s="2">
        <f t="shared" si="3"/>
        <v>0.00855855855855856</v>
      </c>
      <c r="E117" s="2">
        <f t="shared" si="4"/>
        <v>8.9125</v>
      </c>
    </row>
    <row r="118" spans="1:5">
      <c r="A118" s="1">
        <v>15.3</v>
      </c>
      <c r="B118" s="1">
        <v>1.2727</v>
      </c>
      <c r="C118" s="1">
        <v>537.16002</v>
      </c>
      <c r="D118" s="2">
        <f t="shared" si="3"/>
        <v>0.00863333333333334</v>
      </c>
      <c r="E118" s="2">
        <f t="shared" si="4"/>
        <v>8.952667</v>
      </c>
    </row>
    <row r="119" spans="1:5">
      <c r="A119" s="1">
        <v>15.4</v>
      </c>
      <c r="B119" s="1">
        <v>1.2811</v>
      </c>
      <c r="C119" s="1">
        <v>538.78002</v>
      </c>
      <c r="D119" s="2">
        <f t="shared" si="3"/>
        <v>0.00870900900900901</v>
      </c>
      <c r="E119" s="2">
        <f t="shared" si="4"/>
        <v>8.979667</v>
      </c>
    </row>
    <row r="120" spans="1:5">
      <c r="A120" s="1">
        <v>15.5</v>
      </c>
      <c r="B120" s="1">
        <v>1.2894</v>
      </c>
      <c r="C120" s="1">
        <v>541.18998</v>
      </c>
      <c r="D120" s="2">
        <f t="shared" si="3"/>
        <v>0.00878378378378379</v>
      </c>
      <c r="E120" s="2">
        <f t="shared" si="4"/>
        <v>9.019833</v>
      </c>
    </row>
    <row r="121" spans="1:5">
      <c r="A121" s="1">
        <v>15.6</v>
      </c>
      <c r="B121" s="1">
        <v>1.2977</v>
      </c>
      <c r="C121" s="1">
        <v>542.79998</v>
      </c>
      <c r="D121" s="2">
        <f t="shared" si="3"/>
        <v>0.00885855855855856</v>
      </c>
      <c r="E121" s="2">
        <f t="shared" si="4"/>
        <v>9.04666633333333</v>
      </c>
    </row>
    <row r="122" spans="1:5">
      <c r="A122" s="1">
        <v>15.7</v>
      </c>
      <c r="B122" s="1">
        <v>1.306</v>
      </c>
      <c r="C122" s="1">
        <v>545.22</v>
      </c>
      <c r="D122" s="2">
        <f t="shared" si="3"/>
        <v>0.00893333333333334</v>
      </c>
      <c r="E122" s="2">
        <f t="shared" si="4"/>
        <v>9.087</v>
      </c>
    </row>
    <row r="123" spans="1:5">
      <c r="A123" s="1">
        <v>15.8</v>
      </c>
      <c r="B123" s="1">
        <v>1.3144</v>
      </c>
      <c r="C123" s="1">
        <v>546.02003</v>
      </c>
      <c r="D123" s="2">
        <f t="shared" si="3"/>
        <v>0.00900900900900901</v>
      </c>
      <c r="E123" s="2">
        <f t="shared" si="4"/>
        <v>9.10033383333333</v>
      </c>
    </row>
    <row r="124" spans="1:5">
      <c r="A124" s="1">
        <v>15.9</v>
      </c>
      <c r="B124" s="1">
        <v>1.3228</v>
      </c>
      <c r="C124" s="1">
        <v>547.63002</v>
      </c>
      <c r="D124" s="2">
        <f t="shared" si="3"/>
        <v>0.00908468468468469</v>
      </c>
      <c r="E124" s="2">
        <f t="shared" si="4"/>
        <v>9.127167</v>
      </c>
    </row>
    <row r="125" spans="1:5">
      <c r="A125" s="1">
        <v>16</v>
      </c>
      <c r="B125" s="1">
        <v>1.3311</v>
      </c>
      <c r="C125" s="1">
        <v>549.25002</v>
      </c>
      <c r="D125" s="2">
        <f t="shared" si="3"/>
        <v>0.00915945945945946</v>
      </c>
      <c r="E125" s="2">
        <f t="shared" si="4"/>
        <v>9.154167</v>
      </c>
    </row>
    <row r="126" spans="1:5">
      <c r="A126" s="1">
        <v>16.1</v>
      </c>
      <c r="B126" s="1">
        <v>1.3394</v>
      </c>
      <c r="C126" s="1">
        <v>550.04999</v>
      </c>
      <c r="D126" s="2">
        <f t="shared" si="3"/>
        <v>0.00923423423423424</v>
      </c>
      <c r="E126" s="2">
        <f t="shared" si="4"/>
        <v>9.16749983333333</v>
      </c>
    </row>
    <row r="127" spans="1:5">
      <c r="A127" s="1">
        <v>16.2</v>
      </c>
      <c r="B127" s="1">
        <v>1.3477</v>
      </c>
      <c r="C127" s="1">
        <v>550.86002</v>
      </c>
      <c r="D127" s="2">
        <f t="shared" si="3"/>
        <v>0.00930900900900901</v>
      </c>
      <c r="E127" s="2">
        <f t="shared" si="4"/>
        <v>9.18100033333333</v>
      </c>
    </row>
    <row r="128" spans="1:5">
      <c r="A128" s="1">
        <v>16.3</v>
      </c>
      <c r="B128" s="1">
        <v>1.3561</v>
      </c>
      <c r="C128" s="1">
        <v>551.65999</v>
      </c>
      <c r="D128" s="2">
        <f t="shared" si="3"/>
        <v>0.00938468468468469</v>
      </c>
      <c r="E128" s="2">
        <f t="shared" si="4"/>
        <v>9.19433316666667</v>
      </c>
    </row>
    <row r="129" spans="1:5">
      <c r="A129" s="1">
        <v>16.4</v>
      </c>
      <c r="B129" s="1">
        <v>1.3644</v>
      </c>
      <c r="C129" s="1">
        <v>551.65999</v>
      </c>
      <c r="D129" s="2">
        <f t="shared" si="3"/>
        <v>0.00945945945945946</v>
      </c>
      <c r="E129" s="2">
        <f t="shared" si="4"/>
        <v>9.19433316666667</v>
      </c>
    </row>
    <row r="130" spans="1:5">
      <c r="A130" s="1">
        <v>16.5</v>
      </c>
      <c r="B130" s="1">
        <v>1.3727</v>
      </c>
      <c r="C130" s="1">
        <v>551.65999</v>
      </c>
      <c r="D130" s="2">
        <f t="shared" si="3"/>
        <v>0.00953423423423424</v>
      </c>
      <c r="E130" s="2">
        <f t="shared" si="4"/>
        <v>9.19433316666667</v>
      </c>
    </row>
    <row r="131" spans="1:5">
      <c r="A131" s="1">
        <v>16.6</v>
      </c>
      <c r="B131" s="1">
        <v>1.381</v>
      </c>
      <c r="C131" s="1">
        <v>551.65999</v>
      </c>
      <c r="D131" s="2">
        <f t="shared" si="3"/>
        <v>0.00960900900900901</v>
      </c>
      <c r="E131" s="2">
        <f t="shared" si="4"/>
        <v>9.19433316666667</v>
      </c>
    </row>
    <row r="132" spans="1:5">
      <c r="A132" s="1">
        <v>16.7</v>
      </c>
      <c r="B132" s="1">
        <v>1.3894</v>
      </c>
      <c r="C132" s="1">
        <v>550.86002</v>
      </c>
      <c r="D132" s="2">
        <f t="shared" ref="D132:D146" si="5">((B132/$L$3))-0.00283243243243243</f>
        <v>0.00968468468468469</v>
      </c>
      <c r="E132" s="2">
        <f t="shared" si="4"/>
        <v>9.18100033333333</v>
      </c>
    </row>
    <row r="133" spans="1:5">
      <c r="A133" s="1">
        <v>16.8</v>
      </c>
      <c r="B133" s="1">
        <v>1.3978</v>
      </c>
      <c r="C133" s="1">
        <v>550.04999</v>
      </c>
      <c r="D133" s="2">
        <f t="shared" si="5"/>
        <v>0.00976036036036036</v>
      </c>
      <c r="E133" s="2">
        <f t="shared" si="4"/>
        <v>9.16749983333333</v>
      </c>
    </row>
    <row r="134" spans="1:5">
      <c r="A134" s="1">
        <v>16.9</v>
      </c>
      <c r="B134" s="1">
        <v>1.4061</v>
      </c>
      <c r="C134" s="1">
        <v>549.25002</v>
      </c>
      <c r="D134" s="2">
        <f t="shared" si="5"/>
        <v>0.00983513513513514</v>
      </c>
      <c r="E134" s="2">
        <f t="shared" si="4"/>
        <v>9.154167</v>
      </c>
    </row>
    <row r="135" spans="1:5">
      <c r="A135" s="1">
        <v>17</v>
      </c>
      <c r="B135" s="1">
        <v>1.4144</v>
      </c>
      <c r="C135" s="1">
        <v>547.63002</v>
      </c>
      <c r="D135" s="2">
        <f t="shared" si="5"/>
        <v>0.00990990990990991</v>
      </c>
      <c r="E135" s="2">
        <f t="shared" si="4"/>
        <v>9.127167</v>
      </c>
    </row>
    <row r="136" spans="1:5">
      <c r="A136" s="1">
        <v>17.1</v>
      </c>
      <c r="B136" s="1">
        <v>1.4227</v>
      </c>
      <c r="C136" s="1">
        <v>546.02003</v>
      </c>
      <c r="D136" s="2">
        <f t="shared" si="5"/>
        <v>0.00998468468468469</v>
      </c>
      <c r="E136" s="2">
        <f t="shared" si="4"/>
        <v>9.10033383333333</v>
      </c>
    </row>
    <row r="137" spans="1:5">
      <c r="A137" s="1">
        <v>17.2</v>
      </c>
      <c r="B137" s="1">
        <v>1.4311</v>
      </c>
      <c r="C137" s="1">
        <v>543.61001</v>
      </c>
      <c r="D137" s="2">
        <f t="shared" si="5"/>
        <v>0.0100603603603604</v>
      </c>
      <c r="E137" s="2">
        <f t="shared" si="4"/>
        <v>9.06016683333333</v>
      </c>
    </row>
    <row r="138" spans="1:5">
      <c r="A138" s="1">
        <v>17.3</v>
      </c>
      <c r="B138" s="1">
        <v>1.4394</v>
      </c>
      <c r="C138" s="1">
        <v>540.39001</v>
      </c>
      <c r="D138" s="2">
        <f t="shared" si="5"/>
        <v>0.0101351351351351</v>
      </c>
      <c r="E138" s="2">
        <f t="shared" si="4"/>
        <v>9.00650016666667</v>
      </c>
    </row>
    <row r="139" spans="1:5">
      <c r="A139" s="1">
        <v>17.4</v>
      </c>
      <c r="B139" s="1">
        <v>1.4477</v>
      </c>
      <c r="C139" s="1">
        <v>537.96999</v>
      </c>
      <c r="D139" s="2">
        <f t="shared" si="5"/>
        <v>0.0102099099099099</v>
      </c>
      <c r="E139" s="2">
        <f t="shared" si="4"/>
        <v>8.9661665</v>
      </c>
    </row>
    <row r="140" spans="1:5">
      <c r="A140" s="1">
        <v>17.5</v>
      </c>
      <c r="B140" s="1">
        <v>1.456</v>
      </c>
      <c r="C140" s="1">
        <v>534.75</v>
      </c>
      <c r="D140" s="2">
        <f t="shared" si="5"/>
        <v>0.0102846846846847</v>
      </c>
      <c r="E140" s="2">
        <f t="shared" si="4"/>
        <v>8.9125</v>
      </c>
    </row>
    <row r="141" spans="1:5">
      <c r="A141" s="1">
        <v>17.6</v>
      </c>
      <c r="B141" s="1">
        <v>1.4644</v>
      </c>
      <c r="C141" s="1">
        <v>530.71998</v>
      </c>
      <c r="D141" s="2">
        <f t="shared" si="5"/>
        <v>0.0103603603603604</v>
      </c>
      <c r="E141" s="2">
        <f t="shared" si="4"/>
        <v>8.845333</v>
      </c>
    </row>
    <row r="142" spans="1:5">
      <c r="A142" s="1">
        <v>17.7</v>
      </c>
      <c r="B142" s="1">
        <v>1.4728</v>
      </c>
      <c r="C142" s="1">
        <v>525.88999</v>
      </c>
      <c r="D142" s="2">
        <f t="shared" si="5"/>
        <v>0.010436036036036</v>
      </c>
      <c r="E142" s="2">
        <f t="shared" si="4"/>
        <v>8.76483316666667</v>
      </c>
    </row>
    <row r="143" spans="1:5">
      <c r="A143" s="1">
        <v>17.8</v>
      </c>
      <c r="B143" s="1">
        <v>1.4811</v>
      </c>
      <c r="C143" s="1">
        <v>520.24998</v>
      </c>
      <c r="D143" s="2">
        <f t="shared" si="5"/>
        <v>0.0105108108108108</v>
      </c>
      <c r="E143" s="2">
        <f t="shared" si="4"/>
        <v>8.670833</v>
      </c>
    </row>
    <row r="144" spans="1:5">
      <c r="A144" s="1">
        <v>17.9</v>
      </c>
      <c r="B144" s="1">
        <v>1.4894</v>
      </c>
      <c r="C144" s="1">
        <v>513.80999</v>
      </c>
      <c r="D144" s="2">
        <f t="shared" si="5"/>
        <v>0.0105855855855856</v>
      </c>
      <c r="E144" s="2">
        <f t="shared" si="4"/>
        <v>8.56349983333333</v>
      </c>
    </row>
    <row r="145" spans="1:5">
      <c r="A145" s="1">
        <v>18</v>
      </c>
      <c r="B145" s="1">
        <v>1.4977</v>
      </c>
      <c r="C145" s="1">
        <v>504.94999</v>
      </c>
      <c r="D145" s="2">
        <f t="shared" si="5"/>
        <v>0.0106603603603604</v>
      </c>
      <c r="E145" s="2">
        <f t="shared" si="4"/>
        <v>8.41583316666667</v>
      </c>
    </row>
    <row r="146" spans="1:5">
      <c r="D146" s="2"/>
      <c r="E146" s="2"/>
    </row>
    <row r="147" spans="1:5">
      <c r="D147" s="2"/>
      <c r="E147" s="2"/>
    </row>
    <row r="148" spans="1:5">
      <c r="D148" s="2"/>
      <c r="E148" s="2"/>
    </row>
    <row r="149" spans="1:5">
      <c r="D149" s="2"/>
      <c r="E149" s="2"/>
    </row>
    <row r="150" spans="1:5">
      <c r="D150" s="2"/>
      <c r="E150" s="2"/>
    </row>
    <row r="151" spans="1:5">
      <c r="D151" s="2"/>
      <c r="E151" s="2"/>
    </row>
    <row r="152" spans="1:5">
      <c r="D152" s="2"/>
      <c r="E152" s="2"/>
    </row>
    <row r="153" spans="1:5">
      <c r="D153" s="2"/>
      <c r="E153" s="2"/>
    </row>
    <row r="154" spans="1:5">
      <c r="D154" s="2"/>
      <c r="E154" s="2"/>
    </row>
    <row r="155" spans="1:5">
      <c r="D155" s="2"/>
      <c r="E155" s="2"/>
    </row>
    <row r="156" spans="1:5">
      <c r="D156" s="2"/>
      <c r="E156" s="2"/>
    </row>
    <row r="157" spans="1:5">
      <c r="D157" s="2"/>
      <c r="E157" s="2"/>
    </row>
    <row r="158" spans="1:5">
      <c r="D158" s="2"/>
      <c r="E158" s="2"/>
    </row>
    <row r="159" spans="1:5">
      <c r="D159" s="2"/>
      <c r="E159" s="2"/>
    </row>
    <row r="160" spans="1:5">
      <c r="D160" s="2"/>
      <c r="E160" s="2"/>
    </row>
    <row r="161" spans="4:5">
      <c r="D161" s="2"/>
      <c r="E161" s="2"/>
    </row>
    <row r="162" spans="4:5">
      <c r="D162" s="2"/>
      <c r="E162" s="2"/>
    </row>
    <row r="163" spans="4:5">
      <c r="D163" s="2"/>
      <c r="E163" s="2"/>
    </row>
    <row r="164" spans="4:5">
      <c r="D164" s="2"/>
      <c r="E164" s="2"/>
    </row>
    <row r="165" spans="4:5">
      <c r="D165" s="2"/>
      <c r="E165" s="2"/>
    </row>
    <row r="166" spans="4:5">
      <c r="D166" s="2"/>
      <c r="E166" s="2"/>
    </row>
    <row r="167" spans="4:5">
      <c r="D167" s="2"/>
      <c r="E167" s="2"/>
    </row>
    <row r="168" spans="4:5">
      <c r="D168" s="2"/>
      <c r="E168" s="2"/>
    </row>
    <row r="169" spans="4:5">
      <c r="D169" s="2"/>
      <c r="E169" s="2"/>
    </row>
    <row r="170" spans="4:5">
      <c r="D170" s="2"/>
      <c r="E170" s="2"/>
    </row>
    <row r="171" spans="4:5">
      <c r="D171" s="2"/>
      <c r="E171" s="2"/>
    </row>
    <row r="172" spans="4:5">
      <c r="D172" s="2"/>
      <c r="E172" s="2"/>
    </row>
    <row r="173" spans="4:5">
      <c r="D173" s="2"/>
      <c r="E173" s="2"/>
    </row>
    <row r="174" spans="4:5">
      <c r="D174" s="2"/>
      <c r="E174" s="2"/>
    </row>
    <row r="175" spans="4:5">
      <c r="D175" s="2"/>
      <c r="E175" s="2"/>
    </row>
    <row r="176" spans="4:5">
      <c r="D176" s="2"/>
      <c r="E176" s="2"/>
    </row>
    <row r="177" spans="4:5">
      <c r="D177" s="2"/>
      <c r="E177" s="2"/>
    </row>
    <row r="178" spans="4:5">
      <c r="D178" s="2"/>
      <c r="E178" s="2"/>
    </row>
    <row r="179" spans="4:5">
      <c r="D179" s="2"/>
      <c r="E179" s="2"/>
    </row>
    <row r="180" spans="4:5">
      <c r="D180" s="2"/>
      <c r="E180" s="2"/>
    </row>
    <row r="181" spans="4:5">
      <c r="D181" s="2"/>
      <c r="E181" s="2"/>
    </row>
    <row r="182" spans="4:5">
      <c r="D182" s="2"/>
      <c r="E182" s="2"/>
    </row>
    <row r="183" spans="4:5">
      <c r="D183" s="2"/>
      <c r="E183" s="2"/>
    </row>
    <row r="184" spans="4:5">
      <c r="D184" s="2"/>
      <c r="E184" s="2"/>
    </row>
    <row r="185" spans="4:5">
      <c r="D185" s="2"/>
      <c r="E185" s="2"/>
    </row>
    <row r="186" spans="4:5">
      <c r="D186" s="2"/>
      <c r="E186" s="2"/>
    </row>
    <row r="187" spans="4:5">
      <c r="D187" s="2"/>
      <c r="E187" s="2"/>
    </row>
    <row r="188" spans="4:5">
      <c r="D188" s="2"/>
      <c r="E188" s="2"/>
    </row>
    <row r="189" spans="4:5">
      <c r="D189" s="2"/>
      <c r="E189" s="2"/>
    </row>
    <row r="190" spans="4:5">
      <c r="D190" s="2"/>
      <c r="E190" s="2"/>
    </row>
    <row r="191" spans="4:5">
      <c r="D191" s="2"/>
      <c r="E191" s="2"/>
    </row>
    <row r="192" spans="4:5">
      <c r="D192" s="2"/>
      <c r="E192" s="2"/>
    </row>
    <row r="193" spans="4:5">
      <c r="D193" s="2"/>
      <c r="E193" s="2"/>
    </row>
    <row r="194" spans="4:5">
      <c r="D194" s="2"/>
      <c r="E194" s="2"/>
    </row>
    <row r="195" spans="4:5">
      <c r="D195" s="2"/>
      <c r="E195" s="2"/>
    </row>
    <row r="196" spans="4:5">
      <c r="D196" s="2"/>
      <c r="E196" s="2"/>
    </row>
    <row r="197" spans="4:5">
      <c r="D197" s="2"/>
      <c r="E197" s="2"/>
    </row>
    <row r="198" spans="4:5">
      <c r="D198" s="2"/>
      <c r="E198" s="2"/>
    </row>
    <row r="199" spans="4:5">
      <c r="D199" s="2"/>
      <c r="E199" s="2"/>
    </row>
    <row r="200" spans="4:5">
      <c r="D200" s="2"/>
      <c r="E200" s="2"/>
    </row>
    <row r="201" spans="4:5">
      <c r="D201" s="2"/>
      <c r="E201" s="2"/>
    </row>
    <row r="202" spans="4:5">
      <c r="D202" s="2"/>
      <c r="E202" s="2"/>
    </row>
    <row r="203" spans="4:5">
      <c r="D203" s="2"/>
      <c r="E203" s="2"/>
    </row>
    <row r="204" spans="4:5">
      <c r="D204" s="2"/>
      <c r="E204" s="2"/>
    </row>
    <row r="205" spans="4:5">
      <c r="D205" s="2"/>
      <c r="E205" s="2"/>
    </row>
    <row r="206" spans="4:5">
      <c r="D206" s="2"/>
      <c r="E206" s="2"/>
    </row>
    <row r="207" spans="4:5">
      <c r="D207" s="2"/>
      <c r="E207" s="2"/>
    </row>
    <row r="208" spans="4:5">
      <c r="D208" s="2"/>
      <c r="E208" s="2"/>
    </row>
    <row r="209" spans="4:5">
      <c r="D209" s="2"/>
      <c r="E209" s="2"/>
    </row>
    <row r="210" spans="4:5">
      <c r="D210" s="2"/>
      <c r="E210" s="2"/>
    </row>
    <row r="211" spans="4:5">
      <c r="D211" s="2"/>
      <c r="E211" s="2"/>
    </row>
    <row r="212" spans="4:5">
      <c r="D212" s="2"/>
      <c r="E212" s="2"/>
    </row>
    <row r="213" spans="4:5">
      <c r="D213" s="2"/>
      <c r="E213" s="2"/>
    </row>
    <row r="214" spans="4:5">
      <c r="D214" s="2"/>
      <c r="E214" s="2"/>
    </row>
    <row r="215" spans="4:5">
      <c r="D215" s="2"/>
      <c r="E215" s="2"/>
    </row>
    <row r="216" spans="4:5">
      <c r="D216" s="2"/>
      <c r="E216" s="2"/>
    </row>
    <row r="217" spans="4:5">
      <c r="D217" s="2"/>
      <c r="E217" s="2"/>
    </row>
    <row r="218" spans="4:5">
      <c r="D218" s="2"/>
      <c r="E218" s="2"/>
    </row>
    <row r="219" spans="4:5">
      <c r="D219" s="2"/>
      <c r="E219" s="2"/>
    </row>
    <row r="220" spans="4:5">
      <c r="D220" s="2"/>
      <c r="E220" s="2"/>
    </row>
    <row r="221" spans="4:5">
      <c r="D221" s="2"/>
      <c r="E221" s="2"/>
    </row>
    <row r="222" spans="4:5">
      <c r="D222" s="2"/>
      <c r="E222" s="2"/>
    </row>
    <row r="223" spans="4:5">
      <c r="D223" s="2"/>
      <c r="E223" s="2"/>
    </row>
    <row r="224" spans="4:5">
      <c r="D224" s="2"/>
      <c r="E224" s="2"/>
    </row>
    <row r="225" spans="4:5">
      <c r="D225" s="2"/>
      <c r="E225" s="2"/>
    </row>
    <row r="226" spans="4:5">
      <c r="D226" s="2"/>
      <c r="E226" s="2"/>
    </row>
    <row r="227" spans="4:5">
      <c r="D227" s="2"/>
      <c r="E227" s="2"/>
    </row>
    <row r="228" spans="4:5">
      <c r="D228" s="2"/>
      <c r="E228" s="2"/>
    </row>
    <row r="229" spans="4:5">
      <c r="D229" s="2"/>
      <c r="E229" s="2"/>
    </row>
    <row r="230" spans="4:5">
      <c r="D230" s="2"/>
      <c r="E230" s="2"/>
    </row>
    <row r="231" spans="4:5">
      <c r="D231" s="2"/>
      <c r="E231" s="2"/>
    </row>
    <row r="232" spans="4:5">
      <c r="D232" s="2"/>
      <c r="E232" s="2"/>
    </row>
    <row r="233" spans="4:5">
      <c r="D233" s="2"/>
      <c r="E233" s="2"/>
    </row>
    <row r="234" spans="4:5">
      <c r="D234" s="2"/>
      <c r="E234" s="2"/>
    </row>
    <row r="235" spans="4:5">
      <c r="D235" s="2"/>
      <c r="E235" s="2"/>
    </row>
    <row r="236" spans="4:5">
      <c r="D236" s="2"/>
      <c r="E236" s="2"/>
    </row>
    <row r="237" spans="4:5">
      <c r="D237" s="2"/>
      <c r="E237" s="2"/>
    </row>
    <row r="238" spans="4:5">
      <c r="D238" s="2"/>
      <c r="E238" s="2"/>
    </row>
    <row r="239" spans="4:5">
      <c r="D239" s="2"/>
      <c r="E239" s="2"/>
    </row>
    <row r="240" spans="4:5">
      <c r="D240" s="2"/>
      <c r="E240" s="2"/>
    </row>
    <row r="241" spans="4:5">
      <c r="D241" s="2"/>
      <c r="E241" s="2"/>
    </row>
    <row r="242" spans="4:5">
      <c r="D242" s="2"/>
      <c r="E242" s="2"/>
    </row>
    <row r="243" spans="4:5">
      <c r="D243" s="2"/>
      <c r="E243" s="2"/>
    </row>
    <row r="244" spans="4:5">
      <c r="D244" s="2"/>
      <c r="E244" s="2"/>
    </row>
    <row r="245" spans="4:5">
      <c r="D245" s="2"/>
      <c r="E245" s="2"/>
    </row>
    <row r="246" spans="4:5">
      <c r="D246" s="2"/>
      <c r="E246" s="2"/>
    </row>
    <row r="247" spans="4:5">
      <c r="D247" s="2"/>
      <c r="E247" s="2"/>
    </row>
    <row r="248" spans="4:5">
      <c r="D248" s="2"/>
      <c r="E248" s="2"/>
    </row>
    <row r="249" spans="4:5">
      <c r="D249" s="2"/>
      <c r="E249" s="2"/>
    </row>
    <row r="250" spans="4:5">
      <c r="D250" s="2"/>
      <c r="E250" s="2"/>
    </row>
    <row r="251" spans="4:5">
      <c r="D251" s="2"/>
      <c r="E251" s="2"/>
    </row>
    <row r="252" spans="4:5">
      <c r="D252" s="2"/>
      <c r="E252" s="2"/>
    </row>
    <row r="253" spans="4:5">
      <c r="D253" s="2"/>
      <c r="E253" s="2"/>
    </row>
    <row r="254" spans="4:5">
      <c r="D254" s="2"/>
      <c r="E254" s="2"/>
    </row>
    <row r="255" spans="4:5">
      <c r="D255" s="2"/>
      <c r="E255" s="2"/>
    </row>
    <row r="256" spans="4:5">
      <c r="D256" s="2"/>
      <c r="E256" s="2"/>
    </row>
    <row r="257" spans="4:5">
      <c r="D257" s="2"/>
      <c r="E257" s="2"/>
    </row>
    <row r="258" spans="4:5">
      <c r="D258" s="2"/>
      <c r="E258" s="2"/>
    </row>
    <row r="259" spans="4:5">
      <c r="D259" s="2"/>
      <c r="E259" s="2"/>
    </row>
    <row r="260" spans="4:5">
      <c r="D260" s="2"/>
      <c r="E260" s="2"/>
    </row>
    <row r="261" spans="4:5">
      <c r="D261" s="2"/>
      <c r="E261" s="2"/>
    </row>
    <row r="262" spans="4:5">
      <c r="D262" s="2"/>
      <c r="E262" s="2"/>
    </row>
    <row r="263" spans="4:5">
      <c r="D263" s="2"/>
      <c r="E263" s="2"/>
    </row>
    <row r="264" spans="4:5">
      <c r="D264" s="2"/>
      <c r="E264" s="2"/>
    </row>
    <row r="265" spans="4:5">
      <c r="D265" s="2"/>
      <c r="E265" s="2"/>
    </row>
    <row r="266" spans="4:5">
      <c r="D266" s="2"/>
      <c r="E266" s="2"/>
    </row>
    <row r="267" spans="4:5">
      <c r="D267" s="2"/>
      <c r="E267" s="2"/>
    </row>
    <row r="268" spans="4:5">
      <c r="D268" s="2"/>
      <c r="E268" s="2"/>
    </row>
    <row r="269" spans="4:5">
      <c r="D269" s="2"/>
      <c r="E269" s="2"/>
    </row>
    <row r="270" spans="4:5">
      <c r="D270" s="2"/>
      <c r="E270" s="2"/>
    </row>
    <row r="271" spans="4:5">
      <c r="D271" s="2"/>
      <c r="E271" s="2"/>
    </row>
    <row r="272" spans="4:5">
      <c r="D272" s="2"/>
      <c r="E272" s="2"/>
    </row>
    <row r="273" spans="4:5">
      <c r="D273" s="2"/>
      <c r="E273" s="2"/>
    </row>
    <row r="274" spans="4:5">
      <c r="D274" s="2"/>
      <c r="E274" s="2"/>
    </row>
    <row r="275" spans="4:5">
      <c r="D275" s="2"/>
      <c r="E275" s="2"/>
    </row>
    <row r="276" spans="4:5">
      <c r="D276" s="2"/>
      <c r="E276" s="2"/>
    </row>
    <row r="277" spans="4:5">
      <c r="D277" s="2"/>
      <c r="E277" s="2"/>
    </row>
    <row r="278" spans="4:5">
      <c r="D278" s="2"/>
      <c r="E278" s="2"/>
    </row>
    <row r="279" spans="4:5">
      <c r="D279" s="2"/>
      <c r="E279" s="2"/>
    </row>
    <row r="280" spans="4:5">
      <c r="D280" s="2"/>
      <c r="E280" s="2"/>
    </row>
    <row r="281" spans="4:5">
      <c r="D281" s="2"/>
      <c r="E281" s="2"/>
    </row>
    <row r="282" spans="4:5">
      <c r="D282" s="2"/>
      <c r="E282" s="2"/>
    </row>
    <row r="283" spans="4:5">
      <c r="D283" s="2"/>
      <c r="E283" s="2"/>
    </row>
    <row r="284" spans="4:5">
      <c r="D284" s="2"/>
      <c r="E284" s="2"/>
    </row>
    <row r="285" spans="4:5">
      <c r="D285" s="2"/>
      <c r="E285" s="2"/>
    </row>
    <row r="286" spans="4:5">
      <c r="D286" s="2"/>
      <c r="E286" s="2"/>
    </row>
    <row r="287" spans="4:5">
      <c r="D287" s="2"/>
      <c r="E287" s="2"/>
    </row>
    <row r="288" spans="4:5">
      <c r="D288" s="2"/>
      <c r="E288" s="2"/>
    </row>
    <row r="289" spans="4:5">
      <c r="D289" s="2"/>
      <c r="E289" s="2"/>
    </row>
    <row r="290" spans="4:5">
      <c r="D290" s="2"/>
      <c r="E290" s="2"/>
    </row>
    <row r="291" spans="4:5">
      <c r="D291" s="2"/>
      <c r="E291" s="2"/>
    </row>
    <row r="292" spans="4:5">
      <c r="D292" s="2"/>
      <c r="E292" s="2"/>
    </row>
    <row r="293" spans="4:5">
      <c r="D293" s="2"/>
      <c r="E293" s="2"/>
    </row>
    <row r="294" spans="4:5">
      <c r="D294" s="2"/>
      <c r="E294" s="2"/>
    </row>
    <row r="295" spans="4:5">
      <c r="D295" s="2"/>
      <c r="E295" s="2"/>
    </row>
    <row r="296" spans="4:5">
      <c r="D296" s="2"/>
      <c r="E296" s="2"/>
    </row>
    <row r="297" spans="4:5">
      <c r="D297" s="2"/>
      <c r="E297" s="2"/>
    </row>
    <row r="298" spans="4:5">
      <c r="D298" s="2"/>
      <c r="E298" s="2"/>
    </row>
    <row r="299" spans="4:5">
      <c r="D299" s="2"/>
      <c r="E299" s="2"/>
    </row>
    <row r="300" spans="4:5">
      <c r="D300" s="2"/>
      <c r="E300" s="2"/>
    </row>
    <row r="301" spans="4:5">
      <c r="D301" s="2"/>
      <c r="E301" s="2"/>
    </row>
    <row r="302" spans="4:5">
      <c r="D302" s="2"/>
      <c r="E302" s="2"/>
    </row>
    <row r="303" spans="4:5">
      <c r="D303" s="2"/>
      <c r="E303" s="2"/>
    </row>
    <row r="304" spans="4:5">
      <c r="D304" s="2"/>
      <c r="E304" s="2"/>
    </row>
    <row r="305" spans="4:5">
      <c r="D305" s="2"/>
      <c r="E305" s="2"/>
    </row>
    <row r="306" spans="4:5">
      <c r="D306" s="2"/>
      <c r="E306" s="2"/>
    </row>
    <row r="307" spans="4:5">
      <c r="D307" s="2"/>
      <c r="E307" s="2"/>
    </row>
    <row r="308" spans="4:5">
      <c r="D308" s="2"/>
      <c r="E308" s="2"/>
    </row>
    <row r="309" spans="4:5">
      <c r="D309" s="2"/>
      <c r="E309" s="2"/>
    </row>
    <row r="310" spans="4:5">
      <c r="D310" s="2"/>
      <c r="E310" s="2"/>
    </row>
    <row r="311" spans="4:5">
      <c r="D311" s="2"/>
      <c r="E311" s="2"/>
    </row>
    <row r="312" spans="4:5">
      <c r="D312" s="2"/>
      <c r="E312" s="2"/>
    </row>
    <row r="313" spans="4:5">
      <c r="D313" s="2"/>
      <c r="E313" s="2"/>
    </row>
    <row r="314" spans="4:5">
      <c r="D314" s="2"/>
      <c r="E314" s="2"/>
    </row>
    <row r="315" spans="4:5">
      <c r="D315" s="2"/>
      <c r="E315" s="2"/>
    </row>
    <row r="316" spans="4:5">
      <c r="D316" s="2"/>
      <c r="E316" s="2"/>
    </row>
    <row r="317" spans="4:5">
      <c r="D317" s="2"/>
      <c r="E317" s="2"/>
    </row>
    <row r="318" spans="4:5">
      <c r="D318" s="2"/>
      <c r="E318" s="2"/>
    </row>
    <row r="319" spans="4:5">
      <c r="D319" s="2"/>
      <c r="E319" s="2"/>
    </row>
    <row r="320" spans="4:5">
      <c r="D320" s="2"/>
      <c r="E320" s="2"/>
    </row>
    <row r="321" spans="4:5">
      <c r="D321" s="2"/>
      <c r="E321" s="2"/>
    </row>
    <row r="322" spans="4:5">
      <c r="D322" s="2"/>
      <c r="E322" s="2"/>
    </row>
    <row r="323" spans="4:5">
      <c r="D323" s="2"/>
      <c r="E323" s="2"/>
    </row>
    <row r="324" spans="4:5">
      <c r="D324" s="2"/>
      <c r="E324" s="2"/>
    </row>
    <row r="325" spans="4:5">
      <c r="D325" s="2"/>
      <c r="E325" s="2"/>
    </row>
    <row r="326" spans="4:5">
      <c r="D326" s="2"/>
      <c r="E326" s="2"/>
    </row>
    <row r="327" spans="4:5">
      <c r="D327" s="2"/>
      <c r="E327" s="2"/>
    </row>
    <row r="328" spans="4:5">
      <c r="D328" s="2"/>
      <c r="E328" s="2"/>
    </row>
    <row r="329" spans="4:5">
      <c r="D329" s="2"/>
      <c r="E329" s="2"/>
    </row>
    <row r="330" spans="4:5">
      <c r="D330" s="2"/>
      <c r="E330" s="2"/>
    </row>
    <row r="331" spans="4:5">
      <c r="D331" s="2"/>
      <c r="E331" s="2"/>
    </row>
    <row r="332" spans="4:5">
      <c r="D332" s="2"/>
      <c r="E332" s="2"/>
    </row>
    <row r="333" spans="4:5">
      <c r="D333" s="2"/>
      <c r="E333" s="2"/>
    </row>
    <row r="334" spans="4:5">
      <c r="D334" s="2"/>
      <c r="E334" s="2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74"/>
  <sheetViews>
    <sheetView workbookViewId="0">
      <selection activeCell="F21" sqref="F21"/>
    </sheetView>
  </sheetViews>
  <sheetFormatPr defaultColWidth="9" defaultRowHeight="14"/>
  <cols>
    <col min="1" max="3" width="8.84166666666667" style="1"/>
    <col min="4" max="4" width="10.8916666666667" customWidth="1"/>
    <col min="5" max="5" width="6.79166666666667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2" t="s">
        <v>8</v>
      </c>
      <c r="E2" s="2" t="s">
        <v>9</v>
      </c>
    </row>
    <row r="3" spans="1:13">
      <c r="A3" s="1">
        <v>19.8</v>
      </c>
      <c r="B3" s="1">
        <v>1.6481</v>
      </c>
      <c r="C3" s="1">
        <v>20.93</v>
      </c>
      <c r="D3" s="2">
        <v>0</v>
      </c>
      <c r="E3" s="2">
        <f t="shared" ref="E3:E60" si="0">C3/$L$4</f>
        <v>0.348833333333333</v>
      </c>
      <c r="K3" t="s">
        <v>10</v>
      </c>
      <c r="L3">
        <v>111</v>
      </c>
      <c r="M3" t="s">
        <v>11</v>
      </c>
    </row>
    <row r="4" spans="1:13">
      <c r="A4" s="1">
        <v>19.9</v>
      </c>
      <c r="B4" s="1">
        <v>1.6564</v>
      </c>
      <c r="C4" s="1">
        <v>24.96</v>
      </c>
      <c r="D4" s="2">
        <f t="shared" ref="D4:D67" si="1">((B4/$L$3))-0.0148477477477477</f>
        <v>7.47747747748238e-5</v>
      </c>
      <c r="E4" s="2">
        <f t="shared" si="0"/>
        <v>0.416</v>
      </c>
      <c r="K4" t="s">
        <v>12</v>
      </c>
      <c r="L4">
        <f>10*6</f>
        <v>60</v>
      </c>
      <c r="M4" t="s">
        <v>13</v>
      </c>
    </row>
    <row r="5" spans="1:13">
      <c r="A5" s="1">
        <v>20</v>
      </c>
      <c r="B5" s="1">
        <v>1.6647</v>
      </c>
      <c r="C5" s="1">
        <v>28.18</v>
      </c>
      <c r="D5" s="2">
        <f t="shared" si="1"/>
        <v>0.000149549549549597</v>
      </c>
      <c r="E5" s="2">
        <f t="shared" si="0"/>
        <v>0.469666666666667</v>
      </c>
    </row>
    <row r="6" spans="1:13">
      <c r="A6" s="1">
        <v>20.1</v>
      </c>
      <c r="B6" s="1">
        <v>1.673</v>
      </c>
      <c r="C6" s="1">
        <v>33.01</v>
      </c>
      <c r="D6" s="2">
        <f t="shared" si="1"/>
        <v>0.000224324324324373</v>
      </c>
      <c r="E6" s="2">
        <f t="shared" si="0"/>
        <v>0.550166666666667</v>
      </c>
    </row>
    <row r="7" spans="1:13">
      <c r="A7" s="1">
        <v>20.2</v>
      </c>
      <c r="B7" s="1">
        <v>1.6814</v>
      </c>
      <c r="C7" s="1">
        <v>37.04</v>
      </c>
      <c r="D7" s="2">
        <f t="shared" si="1"/>
        <v>0.000300000000000047</v>
      </c>
      <c r="E7" s="2">
        <f t="shared" si="0"/>
        <v>0.617333333333333</v>
      </c>
    </row>
    <row r="8" spans="1:13">
      <c r="A8" s="1">
        <v>20.3</v>
      </c>
      <c r="B8" s="1">
        <v>1.6897</v>
      </c>
      <c r="C8" s="1">
        <v>41.87</v>
      </c>
      <c r="D8" s="2">
        <f t="shared" si="1"/>
        <v>0.000374774774774822</v>
      </c>
      <c r="E8" s="2">
        <f t="shared" si="0"/>
        <v>0.697833333333333</v>
      </c>
    </row>
    <row r="9" spans="1:13">
      <c r="A9" s="1">
        <v>20.4</v>
      </c>
      <c r="B9" s="1">
        <v>1.6981</v>
      </c>
      <c r="C9" s="1">
        <v>45.9</v>
      </c>
      <c r="D9" s="2">
        <f t="shared" si="1"/>
        <v>0.000450450450450498</v>
      </c>
      <c r="E9" s="2">
        <f t="shared" si="0"/>
        <v>0.765</v>
      </c>
    </row>
    <row r="10" spans="1:13">
      <c r="A10" s="1">
        <v>20.5</v>
      </c>
      <c r="B10" s="1">
        <v>1.7064</v>
      </c>
      <c r="C10" s="1">
        <v>50.73</v>
      </c>
      <c r="D10" s="2">
        <f t="shared" si="1"/>
        <v>0.000525225225225271</v>
      </c>
      <c r="E10" s="2">
        <f t="shared" si="0"/>
        <v>0.8455</v>
      </c>
    </row>
    <row r="11" spans="1:13">
      <c r="A11" s="1">
        <v>20.6</v>
      </c>
      <c r="B11" s="1">
        <v>1.7147</v>
      </c>
      <c r="C11" s="1">
        <v>54.76</v>
      </c>
      <c r="D11" s="2">
        <f t="shared" si="1"/>
        <v>0.000600000000000047</v>
      </c>
      <c r="E11" s="2">
        <f t="shared" si="0"/>
        <v>0.912666666666667</v>
      </c>
    </row>
    <row r="12" spans="1:13">
      <c r="A12" s="1">
        <v>20.7</v>
      </c>
      <c r="B12" s="1">
        <v>1.7231</v>
      </c>
      <c r="C12" s="1">
        <v>59.59</v>
      </c>
      <c r="D12" s="2">
        <f t="shared" si="1"/>
        <v>0.000675675675675724</v>
      </c>
      <c r="E12" s="2">
        <f t="shared" si="0"/>
        <v>0.993166666666667</v>
      </c>
    </row>
    <row r="13" spans="1:13">
      <c r="A13" s="1">
        <v>20.8</v>
      </c>
      <c r="B13" s="1">
        <v>1.7314</v>
      </c>
      <c r="C13" s="1">
        <v>63.62</v>
      </c>
      <c r="D13" s="2">
        <f t="shared" si="1"/>
        <v>0.000750450450450498</v>
      </c>
      <c r="E13" s="2">
        <f t="shared" si="0"/>
        <v>1.06033333333333</v>
      </c>
    </row>
    <row r="14" spans="1:13">
      <c r="A14" s="1">
        <v>20.9</v>
      </c>
      <c r="B14" s="1">
        <v>1.7397</v>
      </c>
      <c r="C14" s="1">
        <v>69.26</v>
      </c>
      <c r="D14" s="2">
        <f t="shared" si="1"/>
        <v>0.000825225225225273</v>
      </c>
      <c r="E14" s="2">
        <f t="shared" si="0"/>
        <v>1.15433333333333</v>
      </c>
    </row>
    <row r="15" spans="1:13">
      <c r="A15" s="1">
        <v>21</v>
      </c>
      <c r="B15" s="1">
        <v>1.748</v>
      </c>
      <c r="C15" s="1">
        <v>73.28</v>
      </c>
      <c r="D15" s="2">
        <f t="shared" si="1"/>
        <v>0.000900000000000048</v>
      </c>
      <c r="E15" s="2">
        <f t="shared" si="0"/>
        <v>1.22133333333333</v>
      </c>
    </row>
    <row r="16" spans="1:13">
      <c r="A16" s="1">
        <v>21.1</v>
      </c>
      <c r="B16" s="1">
        <v>1.7564</v>
      </c>
      <c r="C16" s="1">
        <v>77.31</v>
      </c>
      <c r="D16" s="2">
        <f t="shared" si="1"/>
        <v>0.000975675675675724</v>
      </c>
      <c r="E16" s="2">
        <f t="shared" si="0"/>
        <v>1.2885</v>
      </c>
    </row>
    <row r="17" spans="1:13">
      <c r="A17" s="1">
        <v>21.2</v>
      </c>
      <c r="B17" s="1">
        <v>1.7647</v>
      </c>
      <c r="C17" s="1">
        <v>82.14</v>
      </c>
      <c r="D17" s="2">
        <f t="shared" si="1"/>
        <v>0.0010504504504505</v>
      </c>
      <c r="E17" s="2">
        <f t="shared" si="0"/>
        <v>1.369</v>
      </c>
    </row>
    <row r="18" spans="1:13">
      <c r="A18" s="1">
        <v>21.3</v>
      </c>
      <c r="B18" s="1">
        <v>1.7731</v>
      </c>
      <c r="C18" s="1">
        <v>86.97</v>
      </c>
      <c r="D18" s="2">
        <f t="shared" si="1"/>
        <v>0.00112612612612617</v>
      </c>
      <c r="E18" s="2">
        <f t="shared" si="0"/>
        <v>1.4495</v>
      </c>
    </row>
    <row r="19" spans="1:13">
      <c r="A19" s="1">
        <v>21.4</v>
      </c>
      <c r="B19" s="1">
        <v>1.7814</v>
      </c>
      <c r="C19" s="1">
        <v>91.81</v>
      </c>
      <c r="D19" s="2">
        <f t="shared" si="1"/>
        <v>0.00120090090090095</v>
      </c>
      <c r="E19" s="2">
        <f t="shared" si="0"/>
        <v>1.53016666666667</v>
      </c>
    </row>
    <row r="20" spans="1:13">
      <c r="A20" s="1">
        <v>21.5</v>
      </c>
      <c r="B20" s="1">
        <v>1.7897</v>
      </c>
      <c r="C20" s="1">
        <v>96.64</v>
      </c>
      <c r="D20" s="2">
        <f t="shared" si="1"/>
        <v>0.00127567567567572</v>
      </c>
      <c r="E20" s="2">
        <f t="shared" si="0"/>
        <v>1.61066666666667</v>
      </c>
    </row>
    <row r="21" spans="1:13">
      <c r="A21" s="1">
        <v>21.6</v>
      </c>
      <c r="B21" s="1">
        <v>1.7981</v>
      </c>
      <c r="C21" s="1">
        <v>101.47</v>
      </c>
      <c r="D21" s="2">
        <f t="shared" si="1"/>
        <v>0.0013513513513514</v>
      </c>
      <c r="E21" s="2">
        <f t="shared" si="0"/>
        <v>1.69116666666667</v>
      </c>
    </row>
    <row r="22" spans="1:13">
      <c r="A22" s="1">
        <v>21.7</v>
      </c>
      <c r="B22" s="1">
        <v>1.8064</v>
      </c>
      <c r="C22" s="1">
        <v>105.5</v>
      </c>
      <c r="D22" s="2">
        <f t="shared" si="1"/>
        <v>0.00142612612612617</v>
      </c>
      <c r="E22" s="2">
        <f t="shared" si="0"/>
        <v>1.75833333333333</v>
      </c>
    </row>
    <row r="23" spans="1:13">
      <c r="A23" s="1">
        <v>21.8</v>
      </c>
      <c r="B23" s="1">
        <v>1.8147</v>
      </c>
      <c r="C23" s="1">
        <v>110.33</v>
      </c>
      <c r="D23" s="2">
        <f t="shared" si="1"/>
        <v>0.00150090090090095</v>
      </c>
      <c r="E23" s="2">
        <f t="shared" si="0"/>
        <v>1.83883333333333</v>
      </c>
    </row>
    <row r="24" spans="1:13">
      <c r="A24" s="1">
        <v>21.9</v>
      </c>
      <c r="B24" s="1">
        <v>1.823</v>
      </c>
      <c r="C24" s="1">
        <v>115.16</v>
      </c>
      <c r="D24" s="2">
        <f t="shared" si="1"/>
        <v>0.00157567567567572</v>
      </c>
      <c r="E24" s="2">
        <f t="shared" si="0"/>
        <v>1.91933333333333</v>
      </c>
    </row>
    <row r="25" spans="1:13">
      <c r="A25" s="1">
        <v>22</v>
      </c>
      <c r="B25" s="1">
        <v>1.8314</v>
      </c>
      <c r="C25" s="1">
        <v>119.99</v>
      </c>
      <c r="D25" s="2">
        <f t="shared" si="1"/>
        <v>0.0016513513513514</v>
      </c>
      <c r="E25" s="2">
        <f t="shared" si="0"/>
        <v>1.99983333333333</v>
      </c>
    </row>
    <row r="26" spans="1:13">
      <c r="A26" s="1">
        <v>22.1</v>
      </c>
      <c r="B26" s="1">
        <v>1.8397</v>
      </c>
      <c r="C26" s="1">
        <v>124.01999</v>
      </c>
      <c r="D26" s="2">
        <f t="shared" si="1"/>
        <v>0.00172612612612617</v>
      </c>
      <c r="E26" s="2">
        <f t="shared" si="0"/>
        <v>2.06699983333333</v>
      </c>
      <c r="J26" s="3" t="s">
        <v>14</v>
      </c>
      <c r="K26" s="3"/>
      <c r="L26" s="4">
        <f>MAX(E:E)</f>
        <v>10.3621668333333</v>
      </c>
      <c r="M26" s="3" t="s">
        <v>15</v>
      </c>
    </row>
    <row r="27" spans="1:13">
      <c r="A27" s="1">
        <v>22.2</v>
      </c>
      <c r="B27" s="1">
        <v>1.8481</v>
      </c>
      <c r="C27" s="1">
        <v>128.85</v>
      </c>
      <c r="D27" s="2">
        <f t="shared" si="1"/>
        <v>0.00180180180180185</v>
      </c>
      <c r="E27" s="2">
        <f t="shared" si="0"/>
        <v>2.1475</v>
      </c>
      <c r="J27" s="3" t="s">
        <v>16</v>
      </c>
      <c r="K27" s="3"/>
      <c r="L27" s="3">
        <v>0.0117864864864865</v>
      </c>
      <c r="M27" s="3" t="s">
        <v>17</v>
      </c>
    </row>
    <row r="28" spans="1:13">
      <c r="A28" s="1">
        <v>22.3</v>
      </c>
      <c r="B28" s="1">
        <v>1.8564</v>
      </c>
      <c r="C28" s="1">
        <v>133.68</v>
      </c>
      <c r="D28" s="2">
        <f t="shared" si="1"/>
        <v>0.00187657657657662</v>
      </c>
      <c r="E28" s="2">
        <f t="shared" si="0"/>
        <v>2.228</v>
      </c>
    </row>
    <row r="29" spans="1:13">
      <c r="A29" s="1">
        <v>22.4</v>
      </c>
      <c r="B29" s="1">
        <v>1.8647</v>
      </c>
      <c r="C29" s="1">
        <v>138.52</v>
      </c>
      <c r="D29" s="2">
        <f t="shared" si="1"/>
        <v>0.0019513513513514</v>
      </c>
      <c r="E29" s="2">
        <f t="shared" si="0"/>
        <v>2.30866666666667</v>
      </c>
    </row>
    <row r="30" spans="1:13">
      <c r="A30" s="1">
        <v>22.5</v>
      </c>
      <c r="B30" s="1">
        <v>1.8731</v>
      </c>
      <c r="C30" s="1">
        <v>142.54001</v>
      </c>
      <c r="D30" s="2">
        <f t="shared" si="1"/>
        <v>0.00202702702702707</v>
      </c>
      <c r="E30" s="2">
        <f t="shared" si="0"/>
        <v>2.37566683333333</v>
      </c>
    </row>
    <row r="31" spans="1:13">
      <c r="A31" s="1">
        <v>22.6</v>
      </c>
      <c r="B31" s="1">
        <v>1.8814</v>
      </c>
      <c r="C31" s="1">
        <v>147.37001</v>
      </c>
      <c r="D31" s="2">
        <f t="shared" si="1"/>
        <v>0.00210180180180185</v>
      </c>
      <c r="E31" s="2">
        <f t="shared" si="0"/>
        <v>2.45616683333333</v>
      </c>
    </row>
    <row r="32" spans="1:13">
      <c r="A32" s="1">
        <v>22.7</v>
      </c>
      <c r="B32" s="1">
        <v>1.8897</v>
      </c>
      <c r="C32" s="1">
        <v>152.21</v>
      </c>
      <c r="D32" s="2">
        <f t="shared" si="1"/>
        <v>0.00217657657657662</v>
      </c>
      <c r="E32" s="2">
        <f t="shared" si="0"/>
        <v>2.53683333333333</v>
      </c>
    </row>
    <row r="33" spans="1:5">
      <c r="A33" s="1">
        <v>22.8</v>
      </c>
      <c r="B33" s="1">
        <v>1.898</v>
      </c>
      <c r="C33" s="1">
        <v>157.04</v>
      </c>
      <c r="D33" s="2">
        <f t="shared" si="1"/>
        <v>0.0022513513513514</v>
      </c>
      <c r="E33" s="2">
        <f t="shared" si="0"/>
        <v>2.61733333333333</v>
      </c>
    </row>
    <row r="34" spans="1:5">
      <c r="A34" s="1">
        <v>22.9</v>
      </c>
      <c r="B34" s="1">
        <v>1.9064</v>
      </c>
      <c r="C34" s="1">
        <v>161.07</v>
      </c>
      <c r="D34" s="2">
        <f t="shared" si="1"/>
        <v>0.00232702702702708</v>
      </c>
      <c r="E34" s="2">
        <f t="shared" si="0"/>
        <v>2.6845</v>
      </c>
    </row>
    <row r="35" spans="1:5">
      <c r="A35" s="1">
        <v>23</v>
      </c>
      <c r="B35" s="1">
        <v>1.9147</v>
      </c>
      <c r="C35" s="1">
        <v>165.90001</v>
      </c>
      <c r="D35" s="2">
        <f t="shared" si="1"/>
        <v>0.00240180180180185</v>
      </c>
      <c r="E35" s="2">
        <f t="shared" si="0"/>
        <v>2.76500016666667</v>
      </c>
    </row>
    <row r="36" spans="1:5">
      <c r="A36" s="1">
        <v>23.1</v>
      </c>
      <c r="B36" s="1">
        <v>1.9231</v>
      </c>
      <c r="C36" s="1">
        <v>170.72999</v>
      </c>
      <c r="D36" s="2">
        <f t="shared" si="1"/>
        <v>0.00247747747747753</v>
      </c>
      <c r="E36" s="2">
        <f t="shared" si="0"/>
        <v>2.84549983333333</v>
      </c>
    </row>
    <row r="37" spans="1:5">
      <c r="A37" s="1">
        <v>23.2</v>
      </c>
      <c r="B37" s="1">
        <v>1.9314</v>
      </c>
      <c r="C37" s="1">
        <v>174.76</v>
      </c>
      <c r="D37" s="2">
        <f t="shared" si="1"/>
        <v>0.0025522522522523</v>
      </c>
      <c r="E37" s="2">
        <f t="shared" si="0"/>
        <v>2.91266666666667</v>
      </c>
    </row>
    <row r="38" spans="1:5">
      <c r="A38" s="1">
        <v>23.3</v>
      </c>
      <c r="B38" s="1">
        <v>1.9397</v>
      </c>
      <c r="C38" s="1">
        <v>179.59</v>
      </c>
      <c r="D38" s="2">
        <f t="shared" si="1"/>
        <v>0.00262702702702707</v>
      </c>
      <c r="E38" s="2">
        <f t="shared" si="0"/>
        <v>2.99316666666667</v>
      </c>
    </row>
    <row r="39" spans="1:5">
      <c r="A39" s="1">
        <v>23.4</v>
      </c>
      <c r="B39" s="1">
        <v>1.9481</v>
      </c>
      <c r="C39" s="1">
        <v>184.42</v>
      </c>
      <c r="D39" s="2">
        <f t="shared" si="1"/>
        <v>0.00270270270270275</v>
      </c>
      <c r="E39" s="2">
        <f t="shared" si="0"/>
        <v>3.07366666666667</v>
      </c>
    </row>
    <row r="40" spans="1:5">
      <c r="A40" s="1">
        <v>23.5</v>
      </c>
      <c r="B40" s="1">
        <v>1.9564</v>
      </c>
      <c r="C40" s="1">
        <v>189.25</v>
      </c>
      <c r="D40" s="2">
        <f t="shared" si="1"/>
        <v>0.00277747747747752</v>
      </c>
      <c r="E40" s="2">
        <f t="shared" si="0"/>
        <v>3.15416666666667</v>
      </c>
    </row>
    <row r="41" spans="1:5">
      <c r="A41" s="1">
        <v>23.6</v>
      </c>
      <c r="B41" s="1">
        <v>1.9647</v>
      </c>
      <c r="C41" s="1">
        <v>193.28</v>
      </c>
      <c r="D41" s="2">
        <f t="shared" si="1"/>
        <v>0.0028522522522523</v>
      </c>
      <c r="E41" s="2">
        <f t="shared" si="0"/>
        <v>3.22133333333333</v>
      </c>
    </row>
    <row r="42" spans="1:5">
      <c r="A42" s="1">
        <v>23.7</v>
      </c>
      <c r="B42" s="1">
        <v>1.973</v>
      </c>
      <c r="C42" s="1">
        <v>198.11</v>
      </c>
      <c r="D42" s="2">
        <f t="shared" si="1"/>
        <v>0.00292702702702708</v>
      </c>
      <c r="E42" s="2">
        <f t="shared" si="0"/>
        <v>3.30183333333333</v>
      </c>
    </row>
    <row r="43" spans="1:5">
      <c r="A43" s="1">
        <v>23.8</v>
      </c>
      <c r="B43" s="1">
        <v>1.9814</v>
      </c>
      <c r="C43" s="1">
        <v>202.94</v>
      </c>
      <c r="D43" s="2">
        <f t="shared" si="1"/>
        <v>0.00300270270270275</v>
      </c>
      <c r="E43" s="2">
        <f t="shared" si="0"/>
        <v>3.38233333333333</v>
      </c>
    </row>
    <row r="44" spans="1:5">
      <c r="A44" s="1">
        <v>23.9</v>
      </c>
      <c r="B44" s="1">
        <v>1.9897</v>
      </c>
      <c r="C44" s="1">
        <v>207.78</v>
      </c>
      <c r="D44" s="2">
        <f t="shared" si="1"/>
        <v>0.00307747747747753</v>
      </c>
      <c r="E44" s="2">
        <f t="shared" si="0"/>
        <v>3.463</v>
      </c>
    </row>
    <row r="45" spans="1:5">
      <c r="A45" s="1">
        <v>24</v>
      </c>
      <c r="B45" s="1">
        <v>1.9981</v>
      </c>
      <c r="C45" s="1">
        <v>211.80001</v>
      </c>
      <c r="D45" s="2">
        <f t="shared" si="1"/>
        <v>0.0031531531531532</v>
      </c>
      <c r="E45" s="2">
        <f t="shared" si="0"/>
        <v>3.53000016666667</v>
      </c>
    </row>
    <row r="46" spans="1:5">
      <c r="A46" s="1">
        <v>24.1</v>
      </c>
      <c r="B46" s="1">
        <v>2.0064</v>
      </c>
      <c r="C46" s="1">
        <v>216.62999</v>
      </c>
      <c r="D46" s="2">
        <f t="shared" si="1"/>
        <v>0.00322792792792798</v>
      </c>
      <c r="E46" s="2">
        <f t="shared" si="0"/>
        <v>3.61049983333333</v>
      </c>
    </row>
    <row r="47" spans="1:5">
      <c r="A47" s="1">
        <v>24.2</v>
      </c>
      <c r="B47" s="1">
        <v>2.0147</v>
      </c>
      <c r="C47" s="1">
        <v>221.47</v>
      </c>
      <c r="D47" s="2">
        <f t="shared" si="1"/>
        <v>0.00330270270270275</v>
      </c>
      <c r="E47" s="2">
        <f t="shared" si="0"/>
        <v>3.69116666666667</v>
      </c>
    </row>
    <row r="48" spans="1:5">
      <c r="A48" s="1">
        <v>24.3</v>
      </c>
      <c r="B48" s="1">
        <v>2.0231</v>
      </c>
      <c r="C48" s="1">
        <v>225.49</v>
      </c>
      <c r="D48" s="2">
        <f t="shared" si="1"/>
        <v>0.00337837837837843</v>
      </c>
      <c r="E48" s="2">
        <f t="shared" si="0"/>
        <v>3.75816666666667</v>
      </c>
    </row>
    <row r="49" spans="1:5">
      <c r="A49" s="1">
        <v>24.4</v>
      </c>
      <c r="B49" s="1">
        <v>2.0314</v>
      </c>
      <c r="C49" s="1">
        <v>230.33001</v>
      </c>
      <c r="D49" s="2">
        <f t="shared" si="1"/>
        <v>0.0034531531531532</v>
      </c>
      <c r="E49" s="2">
        <f t="shared" si="0"/>
        <v>3.8388335</v>
      </c>
    </row>
    <row r="50" spans="1:5">
      <c r="A50" s="1">
        <v>24.5</v>
      </c>
      <c r="B50" s="1">
        <v>2.0397</v>
      </c>
      <c r="C50" s="1">
        <v>235.15999</v>
      </c>
      <c r="D50" s="2">
        <f t="shared" si="1"/>
        <v>0.00352792792792797</v>
      </c>
      <c r="E50" s="2">
        <f t="shared" si="0"/>
        <v>3.91933316666667</v>
      </c>
    </row>
    <row r="51" spans="1:5">
      <c r="A51" s="1">
        <v>24.6</v>
      </c>
      <c r="B51" s="1">
        <v>2.048</v>
      </c>
      <c r="C51" s="1">
        <v>239.18001</v>
      </c>
      <c r="D51" s="2">
        <f t="shared" si="1"/>
        <v>0.00360270270270275</v>
      </c>
      <c r="E51" s="2">
        <f t="shared" si="0"/>
        <v>3.9863335</v>
      </c>
    </row>
    <row r="52" spans="1:5">
      <c r="A52" s="1">
        <v>24.7</v>
      </c>
      <c r="B52" s="1">
        <v>2.0564</v>
      </c>
      <c r="C52" s="1">
        <v>244.02</v>
      </c>
      <c r="D52" s="2">
        <f t="shared" si="1"/>
        <v>0.00367837837837843</v>
      </c>
      <c r="E52" s="2">
        <f t="shared" si="0"/>
        <v>4.067</v>
      </c>
    </row>
    <row r="53" spans="1:5">
      <c r="A53" s="1">
        <v>24.8</v>
      </c>
      <c r="B53" s="1">
        <v>2.0647</v>
      </c>
      <c r="C53" s="1">
        <v>248.84999</v>
      </c>
      <c r="D53" s="2">
        <f t="shared" si="1"/>
        <v>0.0037531531531532</v>
      </c>
      <c r="E53" s="2">
        <f t="shared" si="0"/>
        <v>4.14749983333333</v>
      </c>
    </row>
    <row r="54" spans="1:5">
      <c r="A54" s="1">
        <v>24.9</v>
      </c>
      <c r="B54" s="1">
        <v>2.0731</v>
      </c>
      <c r="C54" s="1">
        <v>253.68</v>
      </c>
      <c r="D54" s="2">
        <f t="shared" si="1"/>
        <v>0.00382882882882888</v>
      </c>
      <c r="E54" s="2">
        <f t="shared" si="0"/>
        <v>4.228</v>
      </c>
    </row>
    <row r="55" spans="1:5">
      <c r="A55" s="1">
        <v>25</v>
      </c>
      <c r="B55" s="1">
        <v>2.0814</v>
      </c>
      <c r="C55" s="1">
        <v>257.70999</v>
      </c>
      <c r="D55" s="2">
        <f t="shared" si="1"/>
        <v>0.00390360360360365</v>
      </c>
      <c r="E55" s="2">
        <f t="shared" si="0"/>
        <v>4.2951665</v>
      </c>
    </row>
    <row r="56" spans="1:5">
      <c r="A56" s="1">
        <v>25.1</v>
      </c>
      <c r="B56" s="1">
        <v>2.0897</v>
      </c>
      <c r="C56" s="1">
        <v>262.54001</v>
      </c>
      <c r="D56" s="2">
        <f t="shared" si="1"/>
        <v>0.00397837837837843</v>
      </c>
      <c r="E56" s="2">
        <f t="shared" si="0"/>
        <v>4.37566683333333</v>
      </c>
    </row>
    <row r="57" spans="1:5">
      <c r="A57" s="1">
        <v>25.2</v>
      </c>
      <c r="B57" s="1">
        <v>2.0981</v>
      </c>
      <c r="C57" s="1">
        <v>266.57</v>
      </c>
      <c r="D57" s="2">
        <f t="shared" si="1"/>
        <v>0.0040540540540541</v>
      </c>
      <c r="E57" s="2">
        <f t="shared" si="0"/>
        <v>4.44283333333333</v>
      </c>
    </row>
    <row r="58" spans="1:5">
      <c r="A58" s="1">
        <v>25.3</v>
      </c>
      <c r="B58" s="1">
        <v>2.1064</v>
      </c>
      <c r="C58" s="1">
        <v>270.58999</v>
      </c>
      <c r="D58" s="2">
        <f t="shared" si="1"/>
        <v>0.00412882882882888</v>
      </c>
      <c r="E58" s="2">
        <f t="shared" si="0"/>
        <v>4.50983316666667</v>
      </c>
    </row>
    <row r="59" spans="1:5">
      <c r="A59" s="1">
        <v>25.4</v>
      </c>
      <c r="B59" s="1">
        <v>2.1147</v>
      </c>
      <c r="C59" s="1">
        <v>275.43001</v>
      </c>
      <c r="D59" s="2">
        <f t="shared" si="1"/>
        <v>0.00420360360360365</v>
      </c>
      <c r="E59" s="2">
        <f t="shared" si="0"/>
        <v>4.59050016666667</v>
      </c>
    </row>
    <row r="60" spans="1:5">
      <c r="A60" s="1">
        <v>25.5</v>
      </c>
      <c r="B60" s="1">
        <v>2.123</v>
      </c>
      <c r="C60" s="1">
        <v>279.45</v>
      </c>
      <c r="D60" s="2">
        <f t="shared" si="1"/>
        <v>0.00427837837837843</v>
      </c>
      <c r="E60" s="2">
        <f t="shared" si="0"/>
        <v>4.6575</v>
      </c>
    </row>
    <row r="61" spans="1:5">
      <c r="A61" s="1">
        <v>25.6</v>
      </c>
      <c r="B61" s="1">
        <v>2.1314</v>
      </c>
      <c r="C61" s="1">
        <v>284.28001</v>
      </c>
      <c r="D61" s="2">
        <f t="shared" si="1"/>
        <v>0.0043540540540541</v>
      </c>
      <c r="E61" s="2">
        <f t="shared" ref="E61:E124" si="2">C61/$L$4</f>
        <v>4.73800016666667</v>
      </c>
    </row>
    <row r="62" spans="1:5">
      <c r="A62" s="1">
        <v>25.7</v>
      </c>
      <c r="B62" s="1">
        <v>2.1397</v>
      </c>
      <c r="C62" s="1">
        <v>288.31</v>
      </c>
      <c r="D62" s="2">
        <f t="shared" si="1"/>
        <v>0.00442882882882887</v>
      </c>
      <c r="E62" s="2">
        <f t="shared" si="2"/>
        <v>4.80516666666667</v>
      </c>
    </row>
    <row r="63" spans="1:5">
      <c r="A63" s="1">
        <v>25.8</v>
      </c>
      <c r="B63" s="1">
        <v>2.1481</v>
      </c>
      <c r="C63" s="1">
        <v>293.13999</v>
      </c>
      <c r="D63" s="2">
        <f t="shared" si="1"/>
        <v>0.00450450450450455</v>
      </c>
      <c r="E63" s="2">
        <f t="shared" si="2"/>
        <v>4.8856665</v>
      </c>
    </row>
    <row r="64" spans="1:5">
      <c r="A64" s="1">
        <v>25.9</v>
      </c>
      <c r="B64" s="1">
        <v>2.1564</v>
      </c>
      <c r="C64" s="1">
        <v>297.17001</v>
      </c>
      <c r="D64" s="2">
        <f t="shared" si="1"/>
        <v>0.00457927927927933</v>
      </c>
      <c r="E64" s="2">
        <f t="shared" si="2"/>
        <v>4.9528335</v>
      </c>
    </row>
    <row r="65" spans="1:5">
      <c r="A65" s="1">
        <v>26</v>
      </c>
      <c r="B65" s="1">
        <v>2.1647</v>
      </c>
      <c r="C65" s="1">
        <v>301.2</v>
      </c>
      <c r="D65" s="2">
        <f t="shared" si="1"/>
        <v>0.0046540540540541</v>
      </c>
      <c r="E65" s="2">
        <f t="shared" si="2"/>
        <v>5.02</v>
      </c>
    </row>
    <row r="66" spans="1:5">
      <c r="A66" s="1">
        <v>26.1</v>
      </c>
      <c r="B66" s="1">
        <v>2.1731</v>
      </c>
      <c r="C66" s="1">
        <v>306.02999</v>
      </c>
      <c r="D66" s="2">
        <f t="shared" si="1"/>
        <v>0.00472972972972978</v>
      </c>
      <c r="E66" s="2">
        <f t="shared" si="2"/>
        <v>5.10049983333333</v>
      </c>
    </row>
    <row r="67" spans="1:5">
      <c r="A67" s="1">
        <v>26.2</v>
      </c>
      <c r="B67" s="1">
        <v>2.1814</v>
      </c>
      <c r="C67" s="1">
        <v>310.06001</v>
      </c>
      <c r="D67" s="2">
        <f t="shared" si="1"/>
        <v>0.00480450450450455</v>
      </c>
      <c r="E67" s="2">
        <f t="shared" si="2"/>
        <v>5.16766683333333</v>
      </c>
    </row>
    <row r="68" spans="1:5">
      <c r="A68" s="1">
        <v>26.3</v>
      </c>
      <c r="B68" s="1">
        <v>2.1897</v>
      </c>
      <c r="C68" s="1">
        <v>314.08</v>
      </c>
      <c r="D68" s="2">
        <f t="shared" ref="D68:D131" si="3">((B68/$L$3))-0.0148477477477477</f>
        <v>0.00487927927927933</v>
      </c>
      <c r="E68" s="2">
        <f t="shared" si="2"/>
        <v>5.23466666666667</v>
      </c>
    </row>
    <row r="69" spans="1:5">
      <c r="A69" s="1">
        <v>26.4</v>
      </c>
      <c r="B69" s="1">
        <v>2.198</v>
      </c>
      <c r="C69" s="1">
        <v>318.91001</v>
      </c>
      <c r="D69" s="2">
        <f t="shared" si="3"/>
        <v>0.0049540540540541</v>
      </c>
      <c r="E69" s="2">
        <f t="shared" si="2"/>
        <v>5.31516683333333</v>
      </c>
    </row>
    <row r="70" spans="1:5">
      <c r="A70" s="1">
        <v>26.5</v>
      </c>
      <c r="B70" s="1">
        <v>2.2064</v>
      </c>
      <c r="C70" s="1">
        <v>323.75</v>
      </c>
      <c r="D70" s="2">
        <f t="shared" si="3"/>
        <v>0.00502972972972978</v>
      </c>
      <c r="E70" s="2">
        <f t="shared" si="2"/>
        <v>5.39583333333333</v>
      </c>
    </row>
    <row r="71" spans="1:5">
      <c r="A71" s="1">
        <v>26.6</v>
      </c>
      <c r="B71" s="1">
        <v>2.2147</v>
      </c>
      <c r="C71" s="1">
        <v>327.76999</v>
      </c>
      <c r="D71" s="2">
        <f t="shared" si="3"/>
        <v>0.00510450450450455</v>
      </c>
      <c r="E71" s="2">
        <f t="shared" si="2"/>
        <v>5.46283316666667</v>
      </c>
    </row>
    <row r="72" spans="1:5">
      <c r="A72" s="1">
        <v>26.7</v>
      </c>
      <c r="B72" s="1">
        <v>2.2231</v>
      </c>
      <c r="C72" s="1">
        <v>332.61001</v>
      </c>
      <c r="D72" s="2">
        <f t="shared" si="3"/>
        <v>0.00518018018018023</v>
      </c>
      <c r="E72" s="2">
        <f t="shared" si="2"/>
        <v>5.54350016666667</v>
      </c>
    </row>
    <row r="73" spans="1:5">
      <c r="A73" s="1">
        <v>26.8</v>
      </c>
      <c r="B73" s="1">
        <v>2.2314</v>
      </c>
      <c r="C73" s="1">
        <v>336.63</v>
      </c>
      <c r="D73" s="2">
        <f t="shared" si="3"/>
        <v>0.005254954954955</v>
      </c>
      <c r="E73" s="2">
        <f t="shared" si="2"/>
        <v>5.6105</v>
      </c>
    </row>
    <row r="74" spans="1:5">
      <c r="A74" s="1">
        <v>26.9</v>
      </c>
      <c r="B74" s="1">
        <v>2.2397</v>
      </c>
      <c r="C74" s="1">
        <v>340.65999</v>
      </c>
      <c r="D74" s="2">
        <f t="shared" si="3"/>
        <v>0.00532972972972978</v>
      </c>
      <c r="E74" s="2">
        <f t="shared" si="2"/>
        <v>5.6776665</v>
      </c>
    </row>
    <row r="75" spans="1:5">
      <c r="A75" s="1">
        <v>27</v>
      </c>
      <c r="B75" s="1">
        <v>2.2481</v>
      </c>
      <c r="C75" s="1">
        <v>345.49001</v>
      </c>
      <c r="D75" s="2">
        <f t="shared" si="3"/>
        <v>0.00540540540540545</v>
      </c>
      <c r="E75" s="2">
        <f t="shared" si="2"/>
        <v>5.75816683333333</v>
      </c>
    </row>
    <row r="76" spans="1:5">
      <c r="A76" s="1">
        <v>27.1</v>
      </c>
      <c r="B76" s="1">
        <v>2.2564</v>
      </c>
      <c r="C76" s="1">
        <v>350.31999</v>
      </c>
      <c r="D76" s="2">
        <f t="shared" si="3"/>
        <v>0.00548018018018023</v>
      </c>
      <c r="E76" s="2">
        <f t="shared" si="2"/>
        <v>5.8386665</v>
      </c>
    </row>
    <row r="77" spans="1:5">
      <c r="A77" s="1">
        <v>27.2</v>
      </c>
      <c r="B77" s="1">
        <v>2.2647</v>
      </c>
      <c r="C77" s="1">
        <v>354.35001</v>
      </c>
      <c r="D77" s="2">
        <f t="shared" si="3"/>
        <v>0.005554954954955</v>
      </c>
      <c r="E77" s="2">
        <f t="shared" si="2"/>
        <v>5.9058335</v>
      </c>
    </row>
    <row r="78" spans="1:5">
      <c r="A78" s="1">
        <v>27.3</v>
      </c>
      <c r="B78" s="1">
        <v>2.273</v>
      </c>
      <c r="C78" s="1">
        <v>358.38</v>
      </c>
      <c r="D78" s="2">
        <f t="shared" si="3"/>
        <v>0.00562972972972978</v>
      </c>
      <c r="E78" s="2">
        <f t="shared" si="2"/>
        <v>5.973</v>
      </c>
    </row>
    <row r="79" spans="1:5">
      <c r="A79" s="1">
        <v>27.4</v>
      </c>
      <c r="B79" s="1">
        <v>2.2814</v>
      </c>
      <c r="C79" s="1">
        <v>363.20999</v>
      </c>
      <c r="D79" s="2">
        <f t="shared" si="3"/>
        <v>0.00570540540540545</v>
      </c>
      <c r="E79" s="2">
        <f t="shared" si="2"/>
        <v>6.05349983333333</v>
      </c>
    </row>
    <row r="80" spans="1:5">
      <c r="A80" s="1">
        <v>27.5</v>
      </c>
      <c r="B80" s="1">
        <v>2.2897</v>
      </c>
      <c r="C80" s="1">
        <v>367.24001</v>
      </c>
      <c r="D80" s="2">
        <f t="shared" si="3"/>
        <v>0.00578018018018023</v>
      </c>
      <c r="E80" s="2">
        <f t="shared" si="2"/>
        <v>6.12066683333333</v>
      </c>
    </row>
    <row r="81" spans="1:5">
      <c r="A81" s="1">
        <v>27.6</v>
      </c>
      <c r="B81" s="1">
        <v>2.298</v>
      </c>
      <c r="C81" s="1">
        <v>371.26</v>
      </c>
      <c r="D81" s="2">
        <f t="shared" si="3"/>
        <v>0.005854954954955</v>
      </c>
      <c r="E81" s="2">
        <f t="shared" si="2"/>
        <v>6.18766666666667</v>
      </c>
    </row>
    <row r="82" spans="1:5">
      <c r="A82" s="1">
        <v>27.7</v>
      </c>
      <c r="B82" s="1">
        <v>2.3064</v>
      </c>
      <c r="C82" s="1">
        <v>376.08999</v>
      </c>
      <c r="D82" s="2">
        <f t="shared" si="3"/>
        <v>0.00593063063063068</v>
      </c>
      <c r="E82" s="2">
        <f t="shared" si="2"/>
        <v>6.2681665</v>
      </c>
    </row>
    <row r="83" spans="1:5">
      <c r="A83" s="1">
        <v>27.8</v>
      </c>
      <c r="B83" s="1">
        <v>2.3147</v>
      </c>
      <c r="C83" s="1">
        <v>380.12001</v>
      </c>
      <c r="D83" s="2">
        <f t="shared" si="3"/>
        <v>0.00600540540540546</v>
      </c>
      <c r="E83" s="2">
        <f t="shared" si="2"/>
        <v>6.3353335</v>
      </c>
    </row>
    <row r="84" spans="1:5">
      <c r="A84" s="1">
        <v>27.9</v>
      </c>
      <c r="B84" s="1">
        <v>2.3231</v>
      </c>
      <c r="C84" s="1">
        <v>384.95</v>
      </c>
      <c r="D84" s="2">
        <f t="shared" si="3"/>
        <v>0.00608108108108113</v>
      </c>
      <c r="E84" s="2">
        <f t="shared" si="2"/>
        <v>6.41583333333333</v>
      </c>
    </row>
    <row r="85" spans="1:5">
      <c r="A85" s="1">
        <v>28</v>
      </c>
      <c r="B85" s="1">
        <v>2.3314</v>
      </c>
      <c r="C85" s="1">
        <v>388.97999</v>
      </c>
      <c r="D85" s="2">
        <f t="shared" si="3"/>
        <v>0.0061558558558559</v>
      </c>
      <c r="E85" s="2">
        <f t="shared" si="2"/>
        <v>6.48299983333333</v>
      </c>
    </row>
    <row r="86" spans="1:5">
      <c r="A86" s="1">
        <v>28.1</v>
      </c>
      <c r="B86" s="1">
        <v>2.3397</v>
      </c>
      <c r="C86" s="1">
        <v>393.01001</v>
      </c>
      <c r="D86" s="2">
        <f t="shared" si="3"/>
        <v>0.00623063063063068</v>
      </c>
      <c r="E86" s="2">
        <f t="shared" si="2"/>
        <v>6.55016683333333</v>
      </c>
    </row>
    <row r="87" spans="1:5">
      <c r="A87" s="1">
        <v>28.2</v>
      </c>
      <c r="B87" s="1">
        <v>2.348</v>
      </c>
      <c r="C87" s="1">
        <v>397.83999</v>
      </c>
      <c r="D87" s="2">
        <f t="shared" si="3"/>
        <v>0.00630540540540545</v>
      </c>
      <c r="E87" s="2">
        <f t="shared" si="2"/>
        <v>6.6306665</v>
      </c>
    </row>
    <row r="88" spans="1:5">
      <c r="A88" s="1">
        <v>28.3</v>
      </c>
      <c r="B88" s="1">
        <v>2.3564</v>
      </c>
      <c r="C88" s="1">
        <v>401.87001</v>
      </c>
      <c r="D88" s="2">
        <f t="shared" si="3"/>
        <v>0.00638108108108113</v>
      </c>
      <c r="E88" s="2">
        <f t="shared" si="2"/>
        <v>6.6978335</v>
      </c>
    </row>
    <row r="89" spans="1:5">
      <c r="A89" s="1">
        <v>28.4</v>
      </c>
      <c r="B89" s="1">
        <v>2.3647</v>
      </c>
      <c r="C89" s="1">
        <v>405.89</v>
      </c>
      <c r="D89" s="2">
        <f t="shared" si="3"/>
        <v>0.00645585585585591</v>
      </c>
      <c r="E89" s="2">
        <f t="shared" si="2"/>
        <v>6.76483333333333</v>
      </c>
    </row>
    <row r="90" spans="1:5">
      <c r="A90" s="1">
        <v>28.5</v>
      </c>
      <c r="B90" s="1">
        <v>2.373</v>
      </c>
      <c r="C90" s="1">
        <v>409.91999</v>
      </c>
      <c r="D90" s="2">
        <f t="shared" si="3"/>
        <v>0.00653063063063068</v>
      </c>
      <c r="E90" s="2">
        <f t="shared" si="2"/>
        <v>6.83199983333333</v>
      </c>
    </row>
    <row r="91" spans="1:5">
      <c r="A91" s="1">
        <v>28.6</v>
      </c>
      <c r="B91" s="1">
        <v>2.3814</v>
      </c>
      <c r="C91" s="1">
        <v>413.95001</v>
      </c>
      <c r="D91" s="2">
        <f t="shared" si="3"/>
        <v>0.00660630630630636</v>
      </c>
      <c r="E91" s="2">
        <f t="shared" si="2"/>
        <v>6.89916683333333</v>
      </c>
    </row>
    <row r="92" spans="1:5">
      <c r="A92" s="1">
        <v>28.7</v>
      </c>
      <c r="B92" s="1">
        <v>2.3897</v>
      </c>
      <c r="C92" s="1">
        <v>418.78</v>
      </c>
      <c r="D92" s="2">
        <f t="shared" si="3"/>
        <v>0.00668108108108113</v>
      </c>
      <c r="E92" s="2">
        <f t="shared" si="2"/>
        <v>6.97966666666667</v>
      </c>
    </row>
    <row r="93" spans="1:5">
      <c r="A93" s="1">
        <v>28.8</v>
      </c>
      <c r="B93" s="1">
        <v>2.3981</v>
      </c>
      <c r="C93" s="1">
        <v>422.79999</v>
      </c>
      <c r="D93" s="2">
        <f t="shared" si="3"/>
        <v>0.0067567567567568</v>
      </c>
      <c r="E93" s="2">
        <f t="shared" si="2"/>
        <v>7.0466665</v>
      </c>
    </row>
    <row r="94" spans="1:5">
      <c r="A94" s="1">
        <v>28.9</v>
      </c>
      <c r="B94" s="1">
        <v>2.4064</v>
      </c>
      <c r="C94" s="1">
        <v>426.83001</v>
      </c>
      <c r="D94" s="2">
        <f t="shared" si="3"/>
        <v>0.00683153153153158</v>
      </c>
      <c r="E94" s="2">
        <f t="shared" si="2"/>
        <v>7.1138335</v>
      </c>
    </row>
    <row r="95" spans="1:5">
      <c r="A95" s="1">
        <v>29</v>
      </c>
      <c r="B95" s="1">
        <v>2.4147</v>
      </c>
      <c r="C95" s="1">
        <v>430.86</v>
      </c>
      <c r="D95" s="2">
        <f t="shared" si="3"/>
        <v>0.00690630630630635</v>
      </c>
      <c r="E95" s="2">
        <f t="shared" si="2"/>
        <v>7.181</v>
      </c>
    </row>
    <row r="96" spans="1:5">
      <c r="A96" s="1">
        <v>29.1</v>
      </c>
      <c r="B96" s="1">
        <v>2.423</v>
      </c>
      <c r="C96" s="1">
        <v>434.88999</v>
      </c>
      <c r="D96" s="2">
        <f t="shared" si="3"/>
        <v>0.00698108108108113</v>
      </c>
      <c r="E96" s="2">
        <f t="shared" si="2"/>
        <v>7.2481665</v>
      </c>
    </row>
    <row r="97" spans="1:5">
      <c r="A97" s="1">
        <v>29.2</v>
      </c>
      <c r="B97" s="1">
        <v>2.4314</v>
      </c>
      <c r="C97" s="1">
        <v>438.91001</v>
      </c>
      <c r="D97" s="2">
        <f t="shared" si="3"/>
        <v>0.00705675675675681</v>
      </c>
      <c r="E97" s="2">
        <f t="shared" si="2"/>
        <v>7.31516683333333</v>
      </c>
    </row>
    <row r="98" spans="1:5">
      <c r="A98" s="1">
        <v>29.3</v>
      </c>
      <c r="B98" s="1">
        <v>2.4397</v>
      </c>
      <c r="C98" s="1">
        <v>442.94</v>
      </c>
      <c r="D98" s="2">
        <f t="shared" si="3"/>
        <v>0.00713153153153158</v>
      </c>
      <c r="E98" s="2">
        <f t="shared" si="2"/>
        <v>7.38233333333333</v>
      </c>
    </row>
    <row r="99" spans="1:5">
      <c r="A99" s="1">
        <v>29.4</v>
      </c>
      <c r="B99" s="1">
        <v>2.448</v>
      </c>
      <c r="C99" s="1">
        <v>447.77001</v>
      </c>
      <c r="D99" s="2">
        <f t="shared" si="3"/>
        <v>0.00720630630630635</v>
      </c>
      <c r="E99" s="2">
        <f t="shared" si="2"/>
        <v>7.4628335</v>
      </c>
    </row>
    <row r="100" spans="1:5">
      <c r="A100" s="1">
        <v>29.5</v>
      </c>
      <c r="B100" s="1">
        <v>2.4564</v>
      </c>
      <c r="C100" s="1">
        <v>451.8</v>
      </c>
      <c r="D100" s="2">
        <f t="shared" si="3"/>
        <v>0.00728198198198203</v>
      </c>
      <c r="E100" s="2">
        <f t="shared" si="2"/>
        <v>7.53</v>
      </c>
    </row>
    <row r="101" spans="1:5">
      <c r="A101" s="1">
        <v>29.6</v>
      </c>
      <c r="B101" s="1">
        <v>2.4647</v>
      </c>
      <c r="C101" s="1">
        <v>455.02</v>
      </c>
      <c r="D101" s="2">
        <f t="shared" si="3"/>
        <v>0.0073567567567568</v>
      </c>
      <c r="E101" s="2">
        <f t="shared" si="2"/>
        <v>7.58366666666667</v>
      </c>
    </row>
    <row r="102" spans="1:5">
      <c r="A102" s="1">
        <v>29.7</v>
      </c>
      <c r="B102" s="1">
        <v>2.4731</v>
      </c>
      <c r="C102" s="1">
        <v>459.04999</v>
      </c>
      <c r="D102" s="2">
        <f t="shared" si="3"/>
        <v>0.00743243243243248</v>
      </c>
      <c r="E102" s="2">
        <f t="shared" si="2"/>
        <v>7.65083316666667</v>
      </c>
    </row>
    <row r="103" spans="1:5">
      <c r="A103" s="1">
        <v>29.8</v>
      </c>
      <c r="B103" s="1">
        <v>2.4814</v>
      </c>
      <c r="C103" s="1">
        <v>463.07</v>
      </c>
      <c r="D103" s="2">
        <f t="shared" si="3"/>
        <v>0.00750720720720725</v>
      </c>
      <c r="E103" s="2">
        <f t="shared" si="2"/>
        <v>7.71783333333333</v>
      </c>
    </row>
    <row r="104" spans="1:5">
      <c r="A104" s="1">
        <v>29.9</v>
      </c>
      <c r="B104" s="1">
        <v>2.4897</v>
      </c>
      <c r="C104" s="1">
        <v>466.29</v>
      </c>
      <c r="D104" s="2">
        <f t="shared" si="3"/>
        <v>0.00758198198198203</v>
      </c>
      <c r="E104" s="2">
        <f t="shared" si="2"/>
        <v>7.7715</v>
      </c>
    </row>
    <row r="105" spans="1:5">
      <c r="A105" s="1">
        <v>30</v>
      </c>
      <c r="B105" s="1">
        <v>2.498</v>
      </c>
      <c r="C105" s="1">
        <v>470.31999</v>
      </c>
      <c r="D105" s="2">
        <f t="shared" si="3"/>
        <v>0.00765675675675681</v>
      </c>
      <c r="E105" s="2">
        <f t="shared" si="2"/>
        <v>7.8386665</v>
      </c>
    </row>
    <row r="106" spans="1:5">
      <c r="A106" s="1">
        <v>30.1</v>
      </c>
      <c r="B106" s="1">
        <v>2.5064</v>
      </c>
      <c r="C106" s="1">
        <v>475.14997</v>
      </c>
      <c r="D106" s="2">
        <f t="shared" si="3"/>
        <v>0.00773243243243248</v>
      </c>
      <c r="E106" s="2">
        <f t="shared" si="2"/>
        <v>7.91916616666667</v>
      </c>
    </row>
    <row r="107" spans="1:5">
      <c r="A107" s="1">
        <v>30.2</v>
      </c>
      <c r="B107" s="1">
        <v>2.5147</v>
      </c>
      <c r="C107" s="1">
        <v>478.37002</v>
      </c>
      <c r="D107" s="2">
        <f t="shared" si="3"/>
        <v>0.00780720720720725</v>
      </c>
      <c r="E107" s="2">
        <f t="shared" si="2"/>
        <v>7.97283366666667</v>
      </c>
    </row>
    <row r="108" spans="1:5">
      <c r="A108" s="1">
        <v>30.3</v>
      </c>
      <c r="B108" s="1">
        <v>2.523</v>
      </c>
      <c r="C108" s="1">
        <v>482.39999</v>
      </c>
      <c r="D108" s="2">
        <f t="shared" si="3"/>
        <v>0.00788198198198203</v>
      </c>
      <c r="E108" s="2">
        <f t="shared" si="2"/>
        <v>8.03999983333333</v>
      </c>
    </row>
    <row r="109" spans="1:5">
      <c r="A109" s="1">
        <v>30.4</v>
      </c>
      <c r="B109" s="1">
        <v>2.5314</v>
      </c>
      <c r="C109" s="1">
        <v>485.61998</v>
      </c>
      <c r="D109" s="2">
        <f t="shared" si="3"/>
        <v>0.00795765765765771</v>
      </c>
      <c r="E109" s="2">
        <f t="shared" si="2"/>
        <v>8.09366633333333</v>
      </c>
    </row>
    <row r="110" spans="1:5">
      <c r="A110" s="1">
        <v>30.5</v>
      </c>
      <c r="B110" s="1">
        <v>2.5397</v>
      </c>
      <c r="C110" s="1">
        <v>489.65</v>
      </c>
      <c r="D110" s="2">
        <f t="shared" si="3"/>
        <v>0.00803243243243248</v>
      </c>
      <c r="E110" s="2">
        <f t="shared" si="2"/>
        <v>8.16083333333333</v>
      </c>
    </row>
    <row r="111" spans="1:5">
      <c r="A111" s="1">
        <v>30.6</v>
      </c>
      <c r="B111" s="1">
        <v>2.5481</v>
      </c>
      <c r="C111" s="1">
        <v>493.68002</v>
      </c>
      <c r="D111" s="2">
        <f t="shared" si="3"/>
        <v>0.00810810810810816</v>
      </c>
      <c r="E111" s="2">
        <f t="shared" si="2"/>
        <v>8.22800033333333</v>
      </c>
    </row>
    <row r="112" spans="1:5">
      <c r="A112" s="1">
        <v>30.7</v>
      </c>
      <c r="B112" s="1">
        <v>2.5564</v>
      </c>
      <c r="C112" s="1">
        <v>497.69998</v>
      </c>
      <c r="D112" s="2">
        <f t="shared" si="3"/>
        <v>0.00818288288288293</v>
      </c>
      <c r="E112" s="2">
        <f t="shared" si="2"/>
        <v>8.29499966666667</v>
      </c>
    </row>
    <row r="113" spans="1:5">
      <c r="A113" s="1">
        <v>30.8</v>
      </c>
      <c r="B113" s="1">
        <v>2.5647</v>
      </c>
      <c r="C113" s="1">
        <v>500.92002</v>
      </c>
      <c r="D113" s="2">
        <f t="shared" si="3"/>
        <v>0.00825765765765771</v>
      </c>
      <c r="E113" s="2">
        <f t="shared" si="2"/>
        <v>8.348667</v>
      </c>
    </row>
    <row r="114" spans="1:5">
      <c r="A114" s="1">
        <v>30.9</v>
      </c>
      <c r="B114" s="1">
        <v>2.573</v>
      </c>
      <c r="C114" s="1">
        <v>504.15002</v>
      </c>
      <c r="D114" s="2">
        <f t="shared" si="3"/>
        <v>0.00833243243243248</v>
      </c>
      <c r="E114" s="2">
        <f t="shared" si="2"/>
        <v>8.40250033333333</v>
      </c>
    </row>
    <row r="115" spans="1:5">
      <c r="A115" s="1">
        <v>31</v>
      </c>
      <c r="B115" s="1">
        <v>2.5814</v>
      </c>
      <c r="C115" s="1">
        <v>508.16998</v>
      </c>
      <c r="D115" s="2">
        <f t="shared" si="3"/>
        <v>0.00840810810810815</v>
      </c>
      <c r="E115" s="2">
        <f t="shared" si="2"/>
        <v>8.46949966666667</v>
      </c>
    </row>
    <row r="116" spans="1:5">
      <c r="A116" s="1">
        <v>31.1</v>
      </c>
      <c r="B116" s="1">
        <v>2.5897</v>
      </c>
      <c r="C116" s="1">
        <v>512.2</v>
      </c>
      <c r="D116" s="2">
        <f t="shared" si="3"/>
        <v>0.00848288288288293</v>
      </c>
      <c r="E116" s="2">
        <f t="shared" si="2"/>
        <v>8.53666666666667</v>
      </c>
    </row>
    <row r="117" spans="1:5">
      <c r="A117" s="1">
        <v>31.2</v>
      </c>
      <c r="B117" s="1">
        <v>2.598</v>
      </c>
      <c r="C117" s="1">
        <v>515.41999</v>
      </c>
      <c r="D117" s="2">
        <f t="shared" si="3"/>
        <v>0.0085576576576577</v>
      </c>
      <c r="E117" s="2">
        <f t="shared" si="2"/>
        <v>8.59033316666667</v>
      </c>
    </row>
    <row r="118" spans="1:5">
      <c r="A118" s="1">
        <v>31.3</v>
      </c>
      <c r="B118" s="1">
        <v>2.6064</v>
      </c>
      <c r="C118" s="1">
        <v>518.63998</v>
      </c>
      <c r="D118" s="2">
        <f t="shared" si="3"/>
        <v>0.00863333333333338</v>
      </c>
      <c r="E118" s="2">
        <f t="shared" si="2"/>
        <v>8.64399966666667</v>
      </c>
    </row>
    <row r="119" spans="1:5">
      <c r="A119" s="1">
        <v>31.4</v>
      </c>
      <c r="B119" s="1">
        <v>2.6147</v>
      </c>
      <c r="C119" s="1">
        <v>521.85997</v>
      </c>
      <c r="D119" s="2">
        <f t="shared" si="3"/>
        <v>0.00870810810810816</v>
      </c>
      <c r="E119" s="2">
        <f t="shared" si="2"/>
        <v>8.69766616666667</v>
      </c>
    </row>
    <row r="120" spans="1:5">
      <c r="A120" s="1">
        <v>31.5</v>
      </c>
      <c r="B120" s="1">
        <v>2.6231</v>
      </c>
      <c r="C120" s="1">
        <v>525.88999</v>
      </c>
      <c r="D120" s="2">
        <f t="shared" si="3"/>
        <v>0.00878378378378383</v>
      </c>
      <c r="E120" s="2">
        <f t="shared" si="2"/>
        <v>8.76483316666667</v>
      </c>
    </row>
    <row r="121" spans="1:5">
      <c r="A121" s="1">
        <v>31.6</v>
      </c>
      <c r="B121" s="1">
        <v>2.6314</v>
      </c>
      <c r="C121" s="1">
        <v>529.10998</v>
      </c>
      <c r="D121" s="2">
        <f t="shared" si="3"/>
        <v>0.00885855855855861</v>
      </c>
      <c r="E121" s="2">
        <f t="shared" si="2"/>
        <v>8.81849966666667</v>
      </c>
    </row>
    <row r="122" spans="1:5">
      <c r="A122" s="1">
        <v>31.7</v>
      </c>
      <c r="B122" s="1">
        <v>2.6397</v>
      </c>
      <c r="C122" s="1">
        <v>532.32998</v>
      </c>
      <c r="D122" s="2">
        <f t="shared" si="3"/>
        <v>0.00893333333333338</v>
      </c>
      <c r="E122" s="2">
        <f t="shared" si="2"/>
        <v>8.87216633333333</v>
      </c>
    </row>
    <row r="123" spans="1:5">
      <c r="A123" s="1">
        <v>31.8</v>
      </c>
      <c r="B123" s="1">
        <v>2.648</v>
      </c>
      <c r="C123" s="1">
        <v>535.55002</v>
      </c>
      <c r="D123" s="2">
        <f t="shared" si="3"/>
        <v>0.00900810810810816</v>
      </c>
      <c r="E123" s="2">
        <f t="shared" si="2"/>
        <v>8.92583366666667</v>
      </c>
    </row>
    <row r="124" spans="1:5">
      <c r="A124" s="1">
        <v>31.9</v>
      </c>
      <c r="B124" s="1">
        <v>2.6564</v>
      </c>
      <c r="C124" s="1">
        <v>538.78002</v>
      </c>
      <c r="D124" s="2">
        <f t="shared" si="3"/>
        <v>0.00908378378378383</v>
      </c>
      <c r="E124" s="2">
        <f t="shared" si="2"/>
        <v>8.979667</v>
      </c>
    </row>
    <row r="125" spans="1:5">
      <c r="A125" s="1">
        <v>32</v>
      </c>
      <c r="B125" s="1">
        <v>2.6647</v>
      </c>
      <c r="C125" s="1">
        <v>542.00001</v>
      </c>
      <c r="D125" s="2">
        <f t="shared" si="3"/>
        <v>0.0091585585585586</v>
      </c>
      <c r="E125" s="2">
        <f t="shared" ref="E125:E165" si="4">C125/$L$4</f>
        <v>9.0333335</v>
      </c>
    </row>
    <row r="126" spans="1:5">
      <c r="A126" s="1">
        <v>32.1</v>
      </c>
      <c r="B126" s="1">
        <v>2.673</v>
      </c>
      <c r="C126" s="1">
        <v>546.02003</v>
      </c>
      <c r="D126" s="2">
        <f t="shared" si="3"/>
        <v>0.00923333333333338</v>
      </c>
      <c r="E126" s="2">
        <f t="shared" si="4"/>
        <v>9.10033383333333</v>
      </c>
    </row>
    <row r="127" spans="1:5">
      <c r="A127" s="1">
        <v>32.2</v>
      </c>
      <c r="B127" s="1">
        <v>2.6814</v>
      </c>
      <c r="C127" s="1">
        <v>548.43999</v>
      </c>
      <c r="D127" s="2">
        <f t="shared" si="3"/>
        <v>0.00930900900900906</v>
      </c>
      <c r="E127" s="2">
        <f t="shared" si="4"/>
        <v>9.1406665</v>
      </c>
    </row>
    <row r="128" spans="1:5">
      <c r="A128" s="1">
        <v>32.3</v>
      </c>
      <c r="B128" s="1">
        <v>2.6897</v>
      </c>
      <c r="C128" s="1">
        <v>551.65999</v>
      </c>
      <c r="D128" s="2">
        <f t="shared" si="3"/>
        <v>0.00938378378378383</v>
      </c>
      <c r="E128" s="2">
        <f t="shared" si="4"/>
        <v>9.19433316666667</v>
      </c>
    </row>
    <row r="129" spans="1:5">
      <c r="A129" s="1">
        <v>32.4</v>
      </c>
      <c r="B129" s="1">
        <v>2.6981</v>
      </c>
      <c r="C129" s="1">
        <v>554.87998</v>
      </c>
      <c r="D129" s="2">
        <f t="shared" si="3"/>
        <v>0.00945945945945951</v>
      </c>
      <c r="E129" s="2">
        <f t="shared" si="4"/>
        <v>9.24799966666667</v>
      </c>
    </row>
    <row r="130" spans="1:5">
      <c r="A130" s="1">
        <v>32.5</v>
      </c>
      <c r="B130" s="1">
        <v>2.7064</v>
      </c>
      <c r="C130" s="1">
        <v>558.10003</v>
      </c>
      <c r="D130" s="2">
        <f t="shared" si="3"/>
        <v>0.00953423423423428</v>
      </c>
      <c r="E130" s="2">
        <f t="shared" si="4"/>
        <v>9.30166716666667</v>
      </c>
    </row>
    <row r="131" spans="1:5">
      <c r="A131" s="1">
        <v>32.6</v>
      </c>
      <c r="B131" s="1">
        <v>2.7147</v>
      </c>
      <c r="C131" s="1">
        <v>561.33002</v>
      </c>
      <c r="D131" s="2">
        <f t="shared" si="3"/>
        <v>0.00960900900900906</v>
      </c>
      <c r="E131" s="2">
        <f t="shared" si="4"/>
        <v>9.35550033333333</v>
      </c>
    </row>
    <row r="132" spans="1:5">
      <c r="A132" s="1">
        <v>32.7</v>
      </c>
      <c r="B132" s="1">
        <v>2.723</v>
      </c>
      <c r="C132" s="1">
        <v>564.55001</v>
      </c>
      <c r="D132" s="2">
        <f t="shared" ref="D132:D165" si="5">((B132/$L$3))-0.0148477477477477</f>
        <v>0.00968378378378383</v>
      </c>
      <c r="E132" s="2">
        <f t="shared" si="4"/>
        <v>9.40916683333333</v>
      </c>
    </row>
    <row r="133" spans="1:5">
      <c r="A133" s="1">
        <v>32.8</v>
      </c>
      <c r="B133" s="1">
        <v>2.7314</v>
      </c>
      <c r="C133" s="1">
        <v>566.95998</v>
      </c>
      <c r="D133" s="2">
        <f t="shared" si="5"/>
        <v>0.0097594594594595</v>
      </c>
      <c r="E133" s="2">
        <f t="shared" si="4"/>
        <v>9.449333</v>
      </c>
    </row>
    <row r="134" spans="1:5">
      <c r="A134" s="1">
        <v>32.9</v>
      </c>
      <c r="B134" s="1">
        <v>2.7397</v>
      </c>
      <c r="C134" s="1">
        <v>570.18002</v>
      </c>
      <c r="D134" s="2">
        <f t="shared" si="5"/>
        <v>0.00983423423423428</v>
      </c>
      <c r="E134" s="2">
        <f t="shared" si="4"/>
        <v>9.50300033333333</v>
      </c>
    </row>
    <row r="135" spans="1:5">
      <c r="A135" s="1">
        <v>33</v>
      </c>
      <c r="B135" s="1">
        <v>2.748</v>
      </c>
      <c r="C135" s="1">
        <v>572.59999</v>
      </c>
      <c r="D135" s="2">
        <f t="shared" si="5"/>
        <v>0.00990900900900906</v>
      </c>
      <c r="E135" s="2">
        <f t="shared" si="4"/>
        <v>9.54333316666667</v>
      </c>
    </row>
    <row r="136" spans="1:5">
      <c r="A136" s="1">
        <v>33.1</v>
      </c>
      <c r="B136" s="1">
        <v>2.7564</v>
      </c>
      <c r="C136" s="1">
        <v>575.81998</v>
      </c>
      <c r="D136" s="2">
        <f t="shared" si="5"/>
        <v>0.00998468468468473</v>
      </c>
      <c r="E136" s="2">
        <f t="shared" si="4"/>
        <v>9.59699966666667</v>
      </c>
    </row>
    <row r="137" spans="1:5">
      <c r="A137" s="1">
        <v>33.2</v>
      </c>
      <c r="B137" s="1">
        <v>2.7647</v>
      </c>
      <c r="C137" s="1">
        <v>579.03998</v>
      </c>
      <c r="D137" s="2">
        <f t="shared" si="5"/>
        <v>0.0100594594594595</v>
      </c>
      <c r="E137" s="2">
        <f t="shared" si="4"/>
        <v>9.65066633333333</v>
      </c>
    </row>
    <row r="138" spans="1:5">
      <c r="A138" s="1">
        <v>33.3</v>
      </c>
      <c r="B138" s="1">
        <v>2.7731</v>
      </c>
      <c r="C138" s="1">
        <v>581.46</v>
      </c>
      <c r="D138" s="2">
        <f t="shared" si="5"/>
        <v>0.0101351351351352</v>
      </c>
      <c r="E138" s="2">
        <f t="shared" si="4"/>
        <v>9.691</v>
      </c>
    </row>
    <row r="139" spans="1:5">
      <c r="A139" s="1">
        <v>33.4</v>
      </c>
      <c r="B139" s="1">
        <v>2.7814</v>
      </c>
      <c r="C139" s="1">
        <v>584.67999</v>
      </c>
      <c r="D139" s="2">
        <f t="shared" si="5"/>
        <v>0.01020990990991</v>
      </c>
      <c r="E139" s="2">
        <f t="shared" si="4"/>
        <v>9.7446665</v>
      </c>
    </row>
    <row r="140" spans="1:5">
      <c r="A140" s="1">
        <v>33.5</v>
      </c>
      <c r="B140" s="1">
        <v>2.7897</v>
      </c>
      <c r="C140" s="1">
        <v>587.10001</v>
      </c>
      <c r="D140" s="2">
        <f t="shared" si="5"/>
        <v>0.0102846846846847</v>
      </c>
      <c r="E140" s="2">
        <f t="shared" si="4"/>
        <v>9.78500016666667</v>
      </c>
    </row>
    <row r="141" spans="1:5">
      <c r="A141" s="1">
        <v>33.6</v>
      </c>
      <c r="B141" s="1">
        <v>2.798</v>
      </c>
      <c r="C141" s="1">
        <v>589.50998</v>
      </c>
      <c r="D141" s="2">
        <f t="shared" si="5"/>
        <v>0.0103594594594595</v>
      </c>
      <c r="E141" s="2">
        <f t="shared" si="4"/>
        <v>9.82516633333333</v>
      </c>
    </row>
    <row r="142" spans="1:5">
      <c r="A142" s="1">
        <v>33.7</v>
      </c>
      <c r="B142" s="1">
        <v>2.8064</v>
      </c>
      <c r="C142" s="1">
        <v>591.93</v>
      </c>
      <c r="D142" s="2">
        <f t="shared" si="5"/>
        <v>0.0104351351351352</v>
      </c>
      <c r="E142" s="2">
        <f t="shared" si="4"/>
        <v>9.8655</v>
      </c>
    </row>
    <row r="143" spans="1:5">
      <c r="A143" s="1">
        <v>33.8</v>
      </c>
      <c r="B143" s="1">
        <v>2.8147</v>
      </c>
      <c r="C143" s="1">
        <v>595.14999</v>
      </c>
      <c r="D143" s="2">
        <f t="shared" si="5"/>
        <v>0.01050990990991</v>
      </c>
      <c r="E143" s="2">
        <f t="shared" si="4"/>
        <v>9.9191665</v>
      </c>
    </row>
    <row r="144" spans="1:5">
      <c r="A144" s="1">
        <v>33.9</v>
      </c>
      <c r="B144" s="1">
        <v>2.823</v>
      </c>
      <c r="C144" s="1">
        <v>596.75999</v>
      </c>
      <c r="D144" s="2">
        <f t="shared" si="5"/>
        <v>0.0105846846846847</v>
      </c>
      <c r="E144" s="2">
        <f t="shared" si="4"/>
        <v>9.94599983333333</v>
      </c>
    </row>
    <row r="145" spans="1:5">
      <c r="A145" s="1">
        <v>34</v>
      </c>
      <c r="B145" s="1">
        <v>2.8314</v>
      </c>
      <c r="C145" s="1">
        <v>599.18001</v>
      </c>
      <c r="D145" s="2">
        <f t="shared" si="5"/>
        <v>0.0106603603603604</v>
      </c>
      <c r="E145" s="2">
        <f t="shared" si="4"/>
        <v>9.9863335</v>
      </c>
    </row>
    <row r="146" spans="1:5">
      <c r="A146" s="1">
        <v>34.1</v>
      </c>
      <c r="B146" s="1">
        <v>2.8397</v>
      </c>
      <c r="C146" s="1">
        <v>601.58998</v>
      </c>
      <c r="D146" s="2">
        <f t="shared" si="5"/>
        <v>0.0107351351351352</v>
      </c>
      <c r="E146" s="2">
        <f t="shared" si="4"/>
        <v>10.0264996666667</v>
      </c>
    </row>
    <row r="147" spans="1:5">
      <c r="A147" s="1">
        <v>34.2</v>
      </c>
      <c r="B147" s="1">
        <v>2.8481</v>
      </c>
      <c r="C147" s="1">
        <v>604.01</v>
      </c>
      <c r="D147" s="2">
        <f t="shared" si="5"/>
        <v>0.0108108108108109</v>
      </c>
      <c r="E147" s="2">
        <f t="shared" si="4"/>
        <v>10.0668333333333</v>
      </c>
    </row>
    <row r="148" spans="1:5">
      <c r="A148" s="1">
        <v>34.3</v>
      </c>
      <c r="B148" s="1">
        <v>2.8564</v>
      </c>
      <c r="C148" s="1">
        <v>606.43002</v>
      </c>
      <c r="D148" s="2">
        <f t="shared" si="5"/>
        <v>0.0108855855855856</v>
      </c>
      <c r="E148" s="2">
        <f t="shared" si="4"/>
        <v>10.107167</v>
      </c>
    </row>
    <row r="149" spans="1:5">
      <c r="A149" s="1">
        <v>34.4</v>
      </c>
      <c r="B149" s="1">
        <v>2.8647</v>
      </c>
      <c r="C149" s="1">
        <v>608.04002</v>
      </c>
      <c r="D149" s="2">
        <f t="shared" si="5"/>
        <v>0.0109603603603604</v>
      </c>
      <c r="E149" s="2">
        <f t="shared" si="4"/>
        <v>10.1340003333333</v>
      </c>
    </row>
    <row r="150" spans="1:5">
      <c r="A150" s="1">
        <v>34.5</v>
      </c>
      <c r="B150" s="1">
        <v>2.873</v>
      </c>
      <c r="C150" s="1">
        <v>610.44998</v>
      </c>
      <c r="D150" s="2">
        <f t="shared" si="5"/>
        <v>0.0110351351351352</v>
      </c>
      <c r="E150" s="2">
        <f t="shared" si="4"/>
        <v>10.1741663333333</v>
      </c>
    </row>
    <row r="151" spans="1:5">
      <c r="A151" s="1">
        <v>34.6</v>
      </c>
      <c r="B151" s="1">
        <v>2.8814</v>
      </c>
      <c r="C151" s="1">
        <v>612.05998</v>
      </c>
      <c r="D151" s="2">
        <f t="shared" si="5"/>
        <v>0.0111108108108109</v>
      </c>
      <c r="E151" s="2">
        <f t="shared" si="4"/>
        <v>10.2009996666667</v>
      </c>
    </row>
    <row r="152" spans="1:5">
      <c r="A152" s="1">
        <v>34.7</v>
      </c>
      <c r="B152" s="1">
        <v>2.8897</v>
      </c>
      <c r="C152" s="1">
        <v>613.66998</v>
      </c>
      <c r="D152" s="2">
        <f t="shared" si="5"/>
        <v>0.0111855855855856</v>
      </c>
      <c r="E152" s="2">
        <f t="shared" si="4"/>
        <v>10.227833</v>
      </c>
    </row>
    <row r="153" spans="1:5">
      <c r="A153" s="1">
        <v>34.8</v>
      </c>
      <c r="B153" s="1">
        <v>2.898</v>
      </c>
      <c r="C153" s="1">
        <v>615.27997</v>
      </c>
      <c r="D153" s="2">
        <f t="shared" si="5"/>
        <v>0.0112603603603604</v>
      </c>
      <c r="E153" s="2">
        <f t="shared" si="4"/>
        <v>10.2546661666667</v>
      </c>
    </row>
    <row r="154" spans="1:5">
      <c r="A154" s="1">
        <v>34.9</v>
      </c>
      <c r="B154" s="1">
        <v>2.9064</v>
      </c>
      <c r="C154" s="1">
        <v>616.89002</v>
      </c>
      <c r="D154" s="2">
        <f t="shared" si="5"/>
        <v>0.0113360360360361</v>
      </c>
      <c r="E154" s="2">
        <f t="shared" si="4"/>
        <v>10.2815003333333</v>
      </c>
    </row>
    <row r="155" spans="1:5">
      <c r="A155" s="1">
        <v>35</v>
      </c>
      <c r="B155" s="1">
        <v>2.9147</v>
      </c>
      <c r="C155" s="1">
        <v>618.51002</v>
      </c>
      <c r="D155" s="2">
        <f t="shared" si="5"/>
        <v>0.0114108108108109</v>
      </c>
      <c r="E155" s="2">
        <f t="shared" si="4"/>
        <v>10.3085003333333</v>
      </c>
    </row>
    <row r="156" spans="1:5">
      <c r="A156" s="1">
        <v>35.1</v>
      </c>
      <c r="B156" s="1">
        <v>2.9231</v>
      </c>
      <c r="C156" s="1">
        <v>619.30999</v>
      </c>
      <c r="D156" s="2">
        <f t="shared" si="5"/>
        <v>0.0114864864864865</v>
      </c>
      <c r="E156" s="2">
        <f t="shared" si="4"/>
        <v>10.3218331666667</v>
      </c>
    </row>
    <row r="157" spans="1:5">
      <c r="A157" s="1">
        <v>35.2</v>
      </c>
      <c r="B157" s="1">
        <v>2.9314</v>
      </c>
      <c r="C157" s="1">
        <v>620.12002</v>
      </c>
      <c r="D157" s="2">
        <f t="shared" si="5"/>
        <v>0.0115612612612613</v>
      </c>
      <c r="E157" s="2">
        <f t="shared" si="4"/>
        <v>10.3353336666667</v>
      </c>
    </row>
    <row r="158" spans="1:5">
      <c r="A158" s="1">
        <v>35.3</v>
      </c>
      <c r="B158" s="1">
        <v>2.9397</v>
      </c>
      <c r="C158" s="1">
        <v>620.91999</v>
      </c>
      <c r="D158" s="2">
        <f t="shared" si="5"/>
        <v>0.0116360360360361</v>
      </c>
      <c r="E158" s="2">
        <f t="shared" si="4"/>
        <v>10.3486665</v>
      </c>
    </row>
    <row r="159" spans="1:5">
      <c r="A159" s="1">
        <v>35.4</v>
      </c>
      <c r="B159" s="1">
        <v>2.948</v>
      </c>
      <c r="C159" s="1">
        <v>621.73001</v>
      </c>
      <c r="D159" s="2">
        <f t="shared" si="5"/>
        <v>0.0117108108108109</v>
      </c>
      <c r="E159" s="2">
        <f t="shared" si="4"/>
        <v>10.3621668333333</v>
      </c>
    </row>
    <row r="160" spans="1:5">
      <c r="A160" s="1">
        <v>35.5</v>
      </c>
      <c r="B160" s="1">
        <v>2.9564</v>
      </c>
      <c r="C160" s="1">
        <v>621.73001</v>
      </c>
      <c r="D160" s="2">
        <f t="shared" si="5"/>
        <v>0.0117864864864865</v>
      </c>
      <c r="E160" s="2">
        <f t="shared" si="4"/>
        <v>10.3621668333333</v>
      </c>
    </row>
    <row r="161" spans="1:5">
      <c r="A161" s="1">
        <v>35.6</v>
      </c>
      <c r="B161" s="1">
        <v>2.9647</v>
      </c>
      <c r="C161" s="1">
        <v>620.91999</v>
      </c>
      <c r="D161" s="2">
        <f t="shared" si="5"/>
        <v>0.0118612612612613</v>
      </c>
      <c r="E161" s="2">
        <f t="shared" si="4"/>
        <v>10.3486665</v>
      </c>
    </row>
    <row r="162" spans="1:5">
      <c r="A162" s="1">
        <v>35.7</v>
      </c>
      <c r="B162" s="1">
        <v>2.973</v>
      </c>
      <c r="C162" s="1">
        <v>620.12002</v>
      </c>
      <c r="D162" s="2">
        <f t="shared" si="5"/>
        <v>0.0119360360360361</v>
      </c>
      <c r="E162" s="2">
        <f t="shared" si="4"/>
        <v>10.3353336666667</v>
      </c>
    </row>
    <row r="163" spans="1:5">
      <c r="A163" s="1">
        <v>35.8</v>
      </c>
      <c r="B163" s="1">
        <v>2.9814</v>
      </c>
      <c r="C163" s="1">
        <v>617.7</v>
      </c>
      <c r="D163" s="2">
        <f t="shared" si="5"/>
        <v>0.0120117117117118</v>
      </c>
      <c r="E163" s="2">
        <f t="shared" si="4"/>
        <v>10.295</v>
      </c>
    </row>
    <row r="164" spans="1:5">
      <c r="A164" s="1">
        <v>35.9</v>
      </c>
      <c r="B164" s="1">
        <v>2.9897</v>
      </c>
      <c r="C164" s="1">
        <v>613.66998</v>
      </c>
      <c r="D164" s="2">
        <f t="shared" si="5"/>
        <v>0.0120864864864865</v>
      </c>
      <c r="E164" s="2">
        <f t="shared" si="4"/>
        <v>10.227833</v>
      </c>
    </row>
    <row r="165" spans="1:5">
      <c r="D165" s="2"/>
      <c r="E165" s="2"/>
    </row>
    <row r="166" spans="1:5">
      <c r="D166" s="2"/>
      <c r="E166" s="2"/>
    </row>
    <row r="167" spans="1:5">
      <c r="D167" s="2"/>
      <c r="E167" s="2"/>
    </row>
    <row r="168" spans="1:5">
      <c r="D168" s="2"/>
      <c r="E168" s="2"/>
    </row>
    <row r="169" spans="1:5">
      <c r="D169" s="2"/>
      <c r="E169" s="2"/>
    </row>
    <row r="170" spans="1:5">
      <c r="D170" s="2"/>
      <c r="E170" s="2"/>
    </row>
    <row r="171" spans="1:5">
      <c r="D171" s="2"/>
      <c r="E171" s="2"/>
    </row>
    <row r="172" spans="1:5">
      <c r="D172" s="2"/>
      <c r="E172" s="2"/>
    </row>
    <row r="173" spans="1:5">
      <c r="D173" s="2"/>
      <c r="E173" s="2"/>
    </row>
    <row r="174" spans="1:5">
      <c r="D174" s="2"/>
      <c r="E174" s="2"/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2"/>
  <sheetViews>
    <sheetView workbookViewId="0">
      <selection activeCell="H20" sqref="H20"/>
    </sheetView>
  </sheetViews>
  <sheetFormatPr defaultColWidth="9" defaultRowHeight="14"/>
  <cols>
    <col min="1" max="3" width="8.84166666666667" style="1"/>
    <col min="4" max="4" width="11.2083333333333" customWidth="1"/>
    <col min="5" max="5" width="7.05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2" t="s">
        <v>8</v>
      </c>
      <c r="E2" s="2" t="s">
        <v>9</v>
      </c>
    </row>
    <row r="3" spans="1:13">
      <c r="A3" s="1">
        <v>21</v>
      </c>
      <c r="B3" s="1">
        <v>1.9506</v>
      </c>
      <c r="C3" s="1">
        <v>16.1</v>
      </c>
      <c r="D3" s="2">
        <v>0</v>
      </c>
      <c r="E3" s="2">
        <f t="shared" ref="E3:E48" si="0">C3/$L$4</f>
        <v>0.268333333333333</v>
      </c>
      <c r="K3" t="s">
        <v>10</v>
      </c>
      <c r="L3">
        <v>111</v>
      </c>
      <c r="M3" t="s">
        <v>11</v>
      </c>
    </row>
    <row r="4" spans="1:13">
      <c r="A4" s="1">
        <v>21.1</v>
      </c>
      <c r="B4" s="1">
        <v>1.959</v>
      </c>
      <c r="C4" s="1">
        <v>20.13</v>
      </c>
      <c r="D4" s="2">
        <f t="shared" ref="D4:D67" si="1">((B4/$L$3))-0.017572972972973</f>
        <v>7.56756756756481e-5</v>
      </c>
      <c r="E4" s="2">
        <f t="shared" si="0"/>
        <v>0.3355</v>
      </c>
      <c r="K4" t="s">
        <v>12</v>
      </c>
      <c r="L4">
        <f>10*6</f>
        <v>60</v>
      </c>
      <c r="M4" t="s">
        <v>13</v>
      </c>
    </row>
    <row r="5" spans="1:13">
      <c r="A5" s="1">
        <v>21.2</v>
      </c>
      <c r="B5" s="1">
        <v>1.9673</v>
      </c>
      <c r="C5" s="1">
        <v>24.16</v>
      </c>
      <c r="D5" s="2">
        <f t="shared" si="1"/>
        <v>0.000150450450450423</v>
      </c>
      <c r="E5" s="2">
        <f t="shared" si="0"/>
        <v>0.402666666666667</v>
      </c>
    </row>
    <row r="6" spans="1:13">
      <c r="A6" s="1">
        <v>21.3</v>
      </c>
      <c r="B6" s="1">
        <v>1.9757</v>
      </c>
      <c r="C6" s="1">
        <v>28.99</v>
      </c>
      <c r="D6" s="2">
        <f t="shared" si="1"/>
        <v>0.000226126126126099</v>
      </c>
      <c r="E6" s="2">
        <f t="shared" si="0"/>
        <v>0.483166666666667</v>
      </c>
    </row>
    <row r="7" spans="1:13">
      <c r="A7" s="1">
        <v>21.4</v>
      </c>
      <c r="B7" s="1">
        <v>1.984</v>
      </c>
      <c r="C7" s="1">
        <v>33.01</v>
      </c>
      <c r="D7" s="2">
        <f t="shared" si="1"/>
        <v>0.000300900900900875</v>
      </c>
      <c r="E7" s="2">
        <f t="shared" si="0"/>
        <v>0.550166666666667</v>
      </c>
    </row>
    <row r="8" spans="1:13">
      <c r="A8" s="1">
        <v>21.5</v>
      </c>
      <c r="B8" s="1">
        <v>1.9923</v>
      </c>
      <c r="C8" s="1">
        <v>37.04</v>
      </c>
      <c r="D8" s="2">
        <f t="shared" si="1"/>
        <v>0.00037567567567565</v>
      </c>
      <c r="E8" s="2">
        <f t="shared" si="0"/>
        <v>0.617333333333333</v>
      </c>
    </row>
    <row r="9" spans="1:13">
      <c r="A9" s="1">
        <v>21.6</v>
      </c>
      <c r="B9" s="1">
        <v>2.0007</v>
      </c>
      <c r="C9" s="1">
        <v>41.87</v>
      </c>
      <c r="D9" s="2">
        <f t="shared" si="1"/>
        <v>0.000451351351351326</v>
      </c>
      <c r="E9" s="2">
        <f t="shared" si="0"/>
        <v>0.697833333333333</v>
      </c>
    </row>
    <row r="10" spans="1:13">
      <c r="A10" s="1">
        <v>21.7</v>
      </c>
      <c r="B10" s="1">
        <v>2.009</v>
      </c>
      <c r="C10" s="1">
        <v>46.71</v>
      </c>
      <c r="D10" s="2">
        <f t="shared" si="1"/>
        <v>0.000526126126126097</v>
      </c>
      <c r="E10" s="2">
        <f t="shared" si="0"/>
        <v>0.7785</v>
      </c>
    </row>
    <row r="11" spans="1:13">
      <c r="A11" s="1">
        <v>21.8</v>
      </c>
      <c r="B11" s="1">
        <v>2.0173</v>
      </c>
      <c r="C11" s="1">
        <v>51.54</v>
      </c>
      <c r="D11" s="2">
        <f t="shared" si="1"/>
        <v>0.000600900900900876</v>
      </c>
      <c r="E11" s="2">
        <f t="shared" si="0"/>
        <v>0.859</v>
      </c>
    </row>
    <row r="12" spans="1:13">
      <c r="A12" s="1">
        <v>21.9</v>
      </c>
      <c r="B12" s="1">
        <v>2.0256</v>
      </c>
      <c r="C12" s="1">
        <v>56.37</v>
      </c>
      <c r="D12" s="2">
        <f t="shared" si="1"/>
        <v>0.000675675675675648</v>
      </c>
      <c r="E12" s="2">
        <f t="shared" si="0"/>
        <v>0.9395</v>
      </c>
    </row>
    <row r="13" spans="1:13">
      <c r="A13" s="1">
        <v>22</v>
      </c>
      <c r="B13" s="1">
        <v>2.034</v>
      </c>
      <c r="C13" s="1">
        <v>61.2</v>
      </c>
      <c r="D13" s="2">
        <f t="shared" si="1"/>
        <v>0.000751351351351324</v>
      </c>
      <c r="E13" s="2">
        <f t="shared" si="0"/>
        <v>1.02</v>
      </c>
    </row>
    <row r="14" spans="1:13">
      <c r="A14" s="1">
        <v>22.1</v>
      </c>
      <c r="B14" s="1">
        <v>2.0423</v>
      </c>
      <c r="C14" s="1">
        <v>66.03</v>
      </c>
      <c r="D14" s="2">
        <f t="shared" si="1"/>
        <v>0.000826126126126099</v>
      </c>
      <c r="E14" s="2">
        <f t="shared" si="0"/>
        <v>1.1005</v>
      </c>
    </row>
    <row r="15" spans="1:13">
      <c r="A15" s="1">
        <v>22.2</v>
      </c>
      <c r="B15" s="1">
        <v>2.0507</v>
      </c>
      <c r="C15" s="1">
        <v>70.87</v>
      </c>
      <c r="D15" s="2">
        <f t="shared" si="1"/>
        <v>0.000901801801801775</v>
      </c>
      <c r="E15" s="2">
        <f t="shared" si="0"/>
        <v>1.18116666666667</v>
      </c>
    </row>
    <row r="16" spans="1:13">
      <c r="A16" s="1">
        <v>22.3</v>
      </c>
      <c r="B16" s="1">
        <v>2.059</v>
      </c>
      <c r="C16" s="1">
        <v>76.5</v>
      </c>
      <c r="D16" s="2">
        <f t="shared" si="1"/>
        <v>0.00097657657657655</v>
      </c>
      <c r="E16" s="2">
        <f t="shared" si="0"/>
        <v>1.275</v>
      </c>
    </row>
    <row r="17" spans="1:13">
      <c r="A17" s="1">
        <v>22.4</v>
      </c>
      <c r="B17" s="1">
        <v>2.0673</v>
      </c>
      <c r="C17" s="1">
        <v>81.34</v>
      </c>
      <c r="D17" s="2">
        <f t="shared" si="1"/>
        <v>0.00105135135135132</v>
      </c>
      <c r="E17" s="2">
        <f t="shared" si="0"/>
        <v>1.35566666666667</v>
      </c>
    </row>
    <row r="18" spans="1:13">
      <c r="A18" s="1">
        <v>22.5</v>
      </c>
      <c r="B18" s="1">
        <v>2.0757</v>
      </c>
      <c r="C18" s="1">
        <v>86.17</v>
      </c>
      <c r="D18" s="2">
        <f t="shared" si="1"/>
        <v>0.001127027027027</v>
      </c>
      <c r="E18" s="2">
        <f t="shared" si="0"/>
        <v>1.43616666666667</v>
      </c>
    </row>
    <row r="19" spans="1:13">
      <c r="A19" s="1">
        <v>22.6</v>
      </c>
      <c r="B19" s="1">
        <v>2.084</v>
      </c>
      <c r="C19" s="1">
        <v>91.81</v>
      </c>
      <c r="D19" s="2">
        <f t="shared" si="1"/>
        <v>0.00120180180180178</v>
      </c>
      <c r="E19" s="2">
        <f t="shared" si="0"/>
        <v>1.53016666666667</v>
      </c>
    </row>
    <row r="20" spans="1:13">
      <c r="A20" s="1">
        <v>22.7</v>
      </c>
      <c r="B20" s="1">
        <v>2.0923</v>
      </c>
      <c r="C20" s="1">
        <v>96.64</v>
      </c>
      <c r="D20" s="2">
        <f t="shared" si="1"/>
        <v>0.00127657657657655</v>
      </c>
      <c r="E20" s="2">
        <f t="shared" si="0"/>
        <v>1.61066666666667</v>
      </c>
    </row>
    <row r="21" spans="1:13">
      <c r="A21" s="1">
        <v>22.8</v>
      </c>
      <c r="B21" s="1">
        <v>2.1006</v>
      </c>
      <c r="C21" s="1">
        <v>101.47</v>
      </c>
      <c r="D21" s="2">
        <f t="shared" si="1"/>
        <v>0.00135135135135132</v>
      </c>
      <c r="E21" s="2">
        <f t="shared" si="0"/>
        <v>1.69116666666667</v>
      </c>
    </row>
    <row r="22" spans="1:13">
      <c r="A22" s="1">
        <v>22.9</v>
      </c>
      <c r="B22" s="1">
        <v>2.109</v>
      </c>
      <c r="C22" s="1">
        <v>107.11</v>
      </c>
      <c r="D22" s="2">
        <f t="shared" si="1"/>
        <v>0.001427027027027</v>
      </c>
      <c r="E22" s="2">
        <f t="shared" si="0"/>
        <v>1.78516666666667</v>
      </c>
    </row>
    <row r="23" spans="1:13">
      <c r="A23" s="1">
        <v>23</v>
      </c>
      <c r="B23" s="1">
        <v>2.1173</v>
      </c>
      <c r="C23" s="1">
        <v>111.94</v>
      </c>
      <c r="D23" s="2">
        <f t="shared" si="1"/>
        <v>0.00150180180180177</v>
      </c>
      <c r="E23" s="2">
        <f t="shared" si="0"/>
        <v>1.86566666666667</v>
      </c>
    </row>
    <row r="24" spans="1:13">
      <c r="A24" s="1">
        <v>23.1</v>
      </c>
      <c r="B24" s="1">
        <v>2.1257</v>
      </c>
      <c r="C24" s="1">
        <v>116.77</v>
      </c>
      <c r="D24" s="2">
        <f t="shared" si="1"/>
        <v>0.00157747747747745</v>
      </c>
      <c r="E24" s="2">
        <f t="shared" si="0"/>
        <v>1.94616666666667</v>
      </c>
    </row>
    <row r="25" spans="1:13">
      <c r="A25" s="1">
        <v>23.2</v>
      </c>
      <c r="B25" s="1">
        <v>2.134</v>
      </c>
      <c r="C25" s="1">
        <v>121.6</v>
      </c>
      <c r="D25" s="2">
        <f t="shared" si="1"/>
        <v>0.00165225225225223</v>
      </c>
      <c r="E25" s="2">
        <f t="shared" si="0"/>
        <v>2.02666666666667</v>
      </c>
    </row>
    <row r="26" spans="1:13">
      <c r="A26" s="1">
        <v>23.3</v>
      </c>
      <c r="B26" s="1">
        <v>2.1423</v>
      </c>
      <c r="C26" s="1">
        <v>127.24</v>
      </c>
      <c r="D26" s="2">
        <f t="shared" si="1"/>
        <v>0.001727027027027</v>
      </c>
      <c r="E26" s="2">
        <f t="shared" si="0"/>
        <v>2.12066666666667</v>
      </c>
      <c r="J26" s="3" t="s">
        <v>14</v>
      </c>
      <c r="K26" s="3"/>
      <c r="L26" s="4">
        <f>MAX(E:E)</f>
        <v>9.50300033333333</v>
      </c>
      <c r="M26" s="3" t="s">
        <v>15</v>
      </c>
    </row>
    <row r="27" spans="1:13">
      <c r="A27" s="1">
        <v>23.4</v>
      </c>
      <c r="B27" s="1">
        <v>2.1507</v>
      </c>
      <c r="C27" s="1">
        <v>132.07</v>
      </c>
      <c r="D27" s="2">
        <f t="shared" si="1"/>
        <v>0.00180270270270268</v>
      </c>
      <c r="E27" s="2">
        <f t="shared" si="0"/>
        <v>2.20116666666667</v>
      </c>
      <c r="J27" s="3" t="s">
        <v>16</v>
      </c>
      <c r="K27" s="3"/>
      <c r="L27" s="3">
        <v>0.0105108108108108</v>
      </c>
      <c r="M27" s="3" t="s">
        <v>17</v>
      </c>
    </row>
    <row r="28" spans="1:13">
      <c r="A28" s="1">
        <v>23.5</v>
      </c>
      <c r="B28" s="1">
        <v>2.159</v>
      </c>
      <c r="C28" s="1">
        <v>136.9</v>
      </c>
      <c r="D28" s="2">
        <f t="shared" si="1"/>
        <v>0.00187747747747745</v>
      </c>
      <c r="E28" s="2">
        <f t="shared" si="0"/>
        <v>2.28166666666667</v>
      </c>
    </row>
    <row r="29" spans="1:13">
      <c r="A29" s="1">
        <v>23.6</v>
      </c>
      <c r="B29" s="1">
        <v>2.1673</v>
      </c>
      <c r="C29" s="1">
        <v>141.73999</v>
      </c>
      <c r="D29" s="2">
        <f t="shared" si="1"/>
        <v>0.00195225225225222</v>
      </c>
      <c r="E29" s="2">
        <f t="shared" si="0"/>
        <v>2.36233316666667</v>
      </c>
    </row>
    <row r="30" spans="1:13">
      <c r="A30" s="1">
        <v>23.7</v>
      </c>
      <c r="B30" s="1">
        <v>2.1756</v>
      </c>
      <c r="C30" s="1">
        <v>147.37001</v>
      </c>
      <c r="D30" s="2">
        <f t="shared" si="1"/>
        <v>0.002027027027027</v>
      </c>
      <c r="E30" s="2">
        <f t="shared" si="0"/>
        <v>2.45616683333333</v>
      </c>
    </row>
    <row r="31" spans="1:13">
      <c r="A31" s="1">
        <v>23.8</v>
      </c>
      <c r="B31" s="1">
        <v>2.184</v>
      </c>
      <c r="C31" s="1">
        <v>152.21</v>
      </c>
      <c r="D31" s="2">
        <f t="shared" si="1"/>
        <v>0.00210270270270268</v>
      </c>
      <c r="E31" s="2">
        <f t="shared" si="0"/>
        <v>2.53683333333333</v>
      </c>
    </row>
    <row r="32" spans="1:13">
      <c r="A32" s="1">
        <v>23.9</v>
      </c>
      <c r="B32" s="1">
        <v>2.1923</v>
      </c>
      <c r="C32" s="1">
        <v>157.04</v>
      </c>
      <c r="D32" s="2">
        <f t="shared" si="1"/>
        <v>0.00217747747747745</v>
      </c>
      <c r="E32" s="2">
        <f t="shared" si="0"/>
        <v>2.61733333333333</v>
      </c>
    </row>
    <row r="33" spans="1:5">
      <c r="A33" s="1">
        <v>24</v>
      </c>
      <c r="B33" s="1">
        <v>2.2007</v>
      </c>
      <c r="C33" s="1">
        <v>161.87</v>
      </c>
      <c r="D33" s="2">
        <f t="shared" si="1"/>
        <v>0.00225315315315313</v>
      </c>
      <c r="E33" s="2">
        <f t="shared" si="0"/>
        <v>2.69783333333333</v>
      </c>
    </row>
    <row r="34" spans="1:5">
      <c r="A34" s="1">
        <v>24.1</v>
      </c>
      <c r="B34" s="1">
        <v>2.209</v>
      </c>
      <c r="C34" s="1">
        <v>167.51</v>
      </c>
      <c r="D34" s="2">
        <f t="shared" si="1"/>
        <v>0.0023279279279279</v>
      </c>
      <c r="E34" s="2">
        <f t="shared" si="0"/>
        <v>2.79183333333333</v>
      </c>
    </row>
    <row r="35" spans="1:5">
      <c r="A35" s="1">
        <v>24.2</v>
      </c>
      <c r="B35" s="1">
        <v>2.2173</v>
      </c>
      <c r="C35" s="1">
        <v>172.34</v>
      </c>
      <c r="D35" s="2">
        <f t="shared" si="1"/>
        <v>0.00240270270270267</v>
      </c>
      <c r="E35" s="2">
        <f t="shared" si="0"/>
        <v>2.87233333333333</v>
      </c>
    </row>
    <row r="36" spans="1:5">
      <c r="A36" s="1">
        <v>24.3</v>
      </c>
      <c r="B36" s="1">
        <v>2.2257</v>
      </c>
      <c r="C36" s="1">
        <v>177.17001</v>
      </c>
      <c r="D36" s="2">
        <f t="shared" si="1"/>
        <v>0.00247837837837835</v>
      </c>
      <c r="E36" s="2">
        <f t="shared" si="0"/>
        <v>2.9528335</v>
      </c>
    </row>
    <row r="37" spans="1:5">
      <c r="A37" s="1">
        <v>24.4</v>
      </c>
      <c r="B37" s="1">
        <v>2.234</v>
      </c>
      <c r="C37" s="1">
        <v>181.99999</v>
      </c>
      <c r="D37" s="2">
        <f t="shared" si="1"/>
        <v>0.00255315315315312</v>
      </c>
      <c r="E37" s="2">
        <f t="shared" si="0"/>
        <v>3.03333316666667</v>
      </c>
    </row>
    <row r="38" spans="1:5">
      <c r="A38" s="1">
        <v>24.5</v>
      </c>
      <c r="B38" s="1">
        <v>2.2423</v>
      </c>
      <c r="C38" s="1">
        <v>187.63999</v>
      </c>
      <c r="D38" s="2">
        <f t="shared" si="1"/>
        <v>0.0026279279279279</v>
      </c>
      <c r="E38" s="2">
        <f t="shared" si="0"/>
        <v>3.12733316666667</v>
      </c>
    </row>
    <row r="39" spans="1:5">
      <c r="A39" s="1">
        <v>24.6</v>
      </c>
      <c r="B39" s="1">
        <v>2.2506</v>
      </c>
      <c r="C39" s="1">
        <v>192.47</v>
      </c>
      <c r="D39" s="2">
        <f t="shared" si="1"/>
        <v>0.00270270270270268</v>
      </c>
      <c r="E39" s="2">
        <f t="shared" si="0"/>
        <v>3.20783333333333</v>
      </c>
    </row>
    <row r="40" spans="1:5">
      <c r="A40" s="1">
        <v>24.7</v>
      </c>
      <c r="B40" s="1">
        <v>2.259</v>
      </c>
      <c r="C40" s="1">
        <v>197.31</v>
      </c>
      <c r="D40" s="2">
        <f t="shared" si="1"/>
        <v>0.00277837837837835</v>
      </c>
      <c r="E40" s="2">
        <f t="shared" si="0"/>
        <v>3.2885</v>
      </c>
    </row>
    <row r="41" spans="1:5">
      <c r="A41" s="1">
        <v>24.8</v>
      </c>
      <c r="B41" s="1">
        <v>2.2673</v>
      </c>
      <c r="C41" s="1">
        <v>202.94</v>
      </c>
      <c r="D41" s="2">
        <f t="shared" si="1"/>
        <v>0.00285315315315313</v>
      </c>
      <c r="E41" s="2">
        <f t="shared" si="0"/>
        <v>3.38233333333333</v>
      </c>
    </row>
    <row r="42" spans="1:5">
      <c r="A42" s="1">
        <v>24.9</v>
      </c>
      <c r="B42" s="1">
        <v>2.2757</v>
      </c>
      <c r="C42" s="1">
        <v>207.78</v>
      </c>
      <c r="D42" s="2">
        <f t="shared" si="1"/>
        <v>0.0029288288288288</v>
      </c>
      <c r="E42" s="2">
        <f t="shared" si="0"/>
        <v>3.463</v>
      </c>
    </row>
    <row r="43" spans="1:5">
      <c r="A43" s="1">
        <v>25</v>
      </c>
      <c r="B43" s="1">
        <v>2.284</v>
      </c>
      <c r="C43" s="1">
        <v>212.61001</v>
      </c>
      <c r="D43" s="2">
        <f t="shared" si="1"/>
        <v>0.00300360360360357</v>
      </c>
      <c r="E43" s="2">
        <f t="shared" si="0"/>
        <v>3.54350016666667</v>
      </c>
    </row>
    <row r="44" spans="1:5">
      <c r="A44" s="1">
        <v>25.1</v>
      </c>
      <c r="B44" s="1">
        <v>2.2923</v>
      </c>
      <c r="C44" s="1">
        <v>217.43999</v>
      </c>
      <c r="D44" s="2">
        <f t="shared" si="1"/>
        <v>0.00307837837837835</v>
      </c>
      <c r="E44" s="2">
        <f t="shared" si="0"/>
        <v>3.62399983333333</v>
      </c>
    </row>
    <row r="45" spans="1:5">
      <c r="A45" s="1">
        <v>25.2</v>
      </c>
      <c r="B45" s="1">
        <v>2.3007</v>
      </c>
      <c r="C45" s="1">
        <v>222.27</v>
      </c>
      <c r="D45" s="2">
        <f t="shared" si="1"/>
        <v>0.00315405405405403</v>
      </c>
      <c r="E45" s="2">
        <f t="shared" si="0"/>
        <v>3.7045</v>
      </c>
    </row>
    <row r="46" spans="1:5">
      <c r="A46" s="1">
        <v>25.3</v>
      </c>
      <c r="B46" s="1">
        <v>2.309</v>
      </c>
      <c r="C46" s="1">
        <v>227.1</v>
      </c>
      <c r="D46" s="2">
        <f t="shared" si="1"/>
        <v>0.0032288288288288</v>
      </c>
      <c r="E46" s="2">
        <f t="shared" si="0"/>
        <v>3.785</v>
      </c>
    </row>
    <row r="47" spans="1:5">
      <c r="A47" s="1">
        <v>25.4</v>
      </c>
      <c r="B47" s="1">
        <v>2.3173</v>
      </c>
      <c r="C47" s="1">
        <v>232.74</v>
      </c>
      <c r="D47" s="2">
        <f t="shared" si="1"/>
        <v>0.00330360360360358</v>
      </c>
      <c r="E47" s="2">
        <f t="shared" si="0"/>
        <v>3.879</v>
      </c>
    </row>
    <row r="48" spans="1:5">
      <c r="A48" s="1">
        <v>25.5</v>
      </c>
      <c r="B48" s="1">
        <v>2.3256</v>
      </c>
      <c r="C48" s="1">
        <v>237.57001</v>
      </c>
      <c r="D48" s="2">
        <f t="shared" si="1"/>
        <v>0.00337837837837835</v>
      </c>
      <c r="E48" s="2">
        <f t="shared" si="0"/>
        <v>3.95950016666667</v>
      </c>
    </row>
    <row r="49" spans="1:5">
      <c r="A49" s="1">
        <v>25.6</v>
      </c>
      <c r="B49" s="1">
        <v>2.334</v>
      </c>
      <c r="C49" s="1">
        <v>242.41</v>
      </c>
      <c r="D49" s="2">
        <f t="shared" si="1"/>
        <v>0.00345405405405403</v>
      </c>
      <c r="E49" s="2">
        <f t="shared" ref="E49:E112" si="2">C49/$L$4</f>
        <v>4.04016666666667</v>
      </c>
    </row>
    <row r="50" spans="1:5">
      <c r="A50" s="1">
        <v>25.7</v>
      </c>
      <c r="B50" s="1">
        <v>2.3423</v>
      </c>
      <c r="C50" s="1">
        <v>247.23999</v>
      </c>
      <c r="D50" s="2">
        <f t="shared" si="1"/>
        <v>0.0035288288288288</v>
      </c>
      <c r="E50" s="2">
        <f t="shared" si="2"/>
        <v>4.1206665</v>
      </c>
    </row>
    <row r="51" spans="1:5">
      <c r="A51" s="1">
        <v>25.8</v>
      </c>
      <c r="B51" s="1">
        <v>2.3507</v>
      </c>
      <c r="C51" s="1">
        <v>252.07001</v>
      </c>
      <c r="D51" s="2">
        <f t="shared" si="1"/>
        <v>0.00360450450450447</v>
      </c>
      <c r="E51" s="2">
        <f t="shared" si="2"/>
        <v>4.20116683333333</v>
      </c>
    </row>
    <row r="52" spans="1:5">
      <c r="A52" s="1">
        <v>25.9</v>
      </c>
      <c r="B52" s="1">
        <v>2.359</v>
      </c>
      <c r="C52" s="1">
        <v>256.9</v>
      </c>
      <c r="D52" s="2">
        <f t="shared" si="1"/>
        <v>0.00367927927927925</v>
      </c>
      <c r="E52" s="2">
        <f t="shared" si="2"/>
        <v>4.28166666666667</v>
      </c>
    </row>
    <row r="53" spans="1:5">
      <c r="A53" s="1">
        <v>26</v>
      </c>
      <c r="B53" s="1">
        <v>2.3673</v>
      </c>
      <c r="C53" s="1">
        <v>261.73001</v>
      </c>
      <c r="D53" s="2">
        <f t="shared" si="1"/>
        <v>0.00375405405405403</v>
      </c>
      <c r="E53" s="2">
        <f t="shared" si="2"/>
        <v>4.36216683333333</v>
      </c>
    </row>
    <row r="54" spans="1:5">
      <c r="A54" s="1">
        <v>26.1</v>
      </c>
      <c r="B54" s="1">
        <v>2.3757</v>
      </c>
      <c r="C54" s="1">
        <v>266.57</v>
      </c>
      <c r="D54" s="2">
        <f t="shared" si="1"/>
        <v>0.0038297297297297</v>
      </c>
      <c r="E54" s="2">
        <f t="shared" si="2"/>
        <v>4.44283333333333</v>
      </c>
    </row>
    <row r="55" spans="1:5">
      <c r="A55" s="1">
        <v>26.2</v>
      </c>
      <c r="B55" s="1">
        <v>2.384</v>
      </c>
      <c r="C55" s="1">
        <v>271.39999</v>
      </c>
      <c r="D55" s="2">
        <f t="shared" si="1"/>
        <v>0.00390450450450448</v>
      </c>
      <c r="E55" s="2">
        <f t="shared" si="2"/>
        <v>4.52333316666667</v>
      </c>
    </row>
    <row r="56" spans="1:5">
      <c r="A56" s="1">
        <v>26.3</v>
      </c>
      <c r="B56" s="1">
        <v>2.3923</v>
      </c>
      <c r="C56" s="1">
        <v>276.23001</v>
      </c>
      <c r="D56" s="2">
        <f t="shared" si="1"/>
        <v>0.00397927927927925</v>
      </c>
      <c r="E56" s="2">
        <f t="shared" si="2"/>
        <v>4.6038335</v>
      </c>
    </row>
    <row r="57" spans="1:5">
      <c r="A57" s="1">
        <v>26.4</v>
      </c>
      <c r="B57" s="1">
        <v>2.4006</v>
      </c>
      <c r="C57" s="1">
        <v>281.05999</v>
      </c>
      <c r="D57" s="2">
        <f t="shared" si="1"/>
        <v>0.00405405405405403</v>
      </c>
      <c r="E57" s="2">
        <f t="shared" si="2"/>
        <v>4.68433316666667</v>
      </c>
    </row>
    <row r="58" spans="1:5">
      <c r="A58" s="1">
        <v>26.5</v>
      </c>
      <c r="B58" s="1">
        <v>2.409</v>
      </c>
      <c r="C58" s="1">
        <v>285.89001</v>
      </c>
      <c r="D58" s="2">
        <f t="shared" si="1"/>
        <v>0.0041297297297297</v>
      </c>
      <c r="E58" s="2">
        <f t="shared" si="2"/>
        <v>4.7648335</v>
      </c>
    </row>
    <row r="59" spans="1:5">
      <c r="A59" s="1">
        <v>26.6</v>
      </c>
      <c r="B59" s="1">
        <v>2.4173</v>
      </c>
      <c r="C59" s="1">
        <v>290.73</v>
      </c>
      <c r="D59" s="2">
        <f t="shared" si="1"/>
        <v>0.00420450450450448</v>
      </c>
      <c r="E59" s="2">
        <f t="shared" si="2"/>
        <v>4.8455</v>
      </c>
    </row>
    <row r="60" spans="1:5">
      <c r="A60" s="1">
        <v>26.7</v>
      </c>
      <c r="B60" s="1">
        <v>2.4257</v>
      </c>
      <c r="C60" s="1">
        <v>295.55999</v>
      </c>
      <c r="D60" s="2">
        <f t="shared" si="1"/>
        <v>0.00428018018018015</v>
      </c>
      <c r="E60" s="2">
        <f t="shared" si="2"/>
        <v>4.92599983333333</v>
      </c>
    </row>
    <row r="61" spans="1:5">
      <c r="A61" s="1">
        <v>26.8</v>
      </c>
      <c r="B61" s="1">
        <v>2.434</v>
      </c>
      <c r="C61" s="1">
        <v>301.2</v>
      </c>
      <c r="D61" s="2">
        <f t="shared" si="1"/>
        <v>0.00435495495495493</v>
      </c>
      <c r="E61" s="2">
        <f t="shared" si="2"/>
        <v>5.02</v>
      </c>
    </row>
    <row r="62" spans="1:5">
      <c r="A62" s="1">
        <v>26.9</v>
      </c>
      <c r="B62" s="1">
        <v>2.4423</v>
      </c>
      <c r="C62" s="1">
        <v>305.21999</v>
      </c>
      <c r="D62" s="2">
        <f t="shared" si="1"/>
        <v>0.0044297297297297</v>
      </c>
      <c r="E62" s="2">
        <f t="shared" si="2"/>
        <v>5.08699983333333</v>
      </c>
    </row>
    <row r="63" spans="1:5">
      <c r="A63" s="1">
        <v>27</v>
      </c>
      <c r="B63" s="1">
        <v>2.4507</v>
      </c>
      <c r="C63" s="1">
        <v>310.86001</v>
      </c>
      <c r="D63" s="2">
        <f t="shared" si="1"/>
        <v>0.00450540540540538</v>
      </c>
      <c r="E63" s="2">
        <f t="shared" si="2"/>
        <v>5.18100016666667</v>
      </c>
    </row>
    <row r="64" spans="1:5">
      <c r="A64" s="1">
        <v>27.1</v>
      </c>
      <c r="B64" s="1">
        <v>2.459</v>
      </c>
      <c r="C64" s="1">
        <v>314.89</v>
      </c>
      <c r="D64" s="2">
        <f t="shared" si="1"/>
        <v>0.00458018018018016</v>
      </c>
      <c r="E64" s="2">
        <f t="shared" si="2"/>
        <v>5.24816666666667</v>
      </c>
    </row>
    <row r="65" spans="1:5">
      <c r="A65" s="1">
        <v>27.2</v>
      </c>
      <c r="B65" s="1">
        <v>2.4673</v>
      </c>
      <c r="C65" s="1">
        <v>319.72001</v>
      </c>
      <c r="D65" s="2">
        <f t="shared" si="1"/>
        <v>0.00465495495495493</v>
      </c>
      <c r="E65" s="2">
        <f t="shared" si="2"/>
        <v>5.32866683333333</v>
      </c>
    </row>
    <row r="66" spans="1:5">
      <c r="A66" s="1">
        <v>27.3</v>
      </c>
      <c r="B66" s="1">
        <v>2.4756</v>
      </c>
      <c r="C66" s="1">
        <v>324.55</v>
      </c>
      <c r="D66" s="2">
        <f t="shared" si="1"/>
        <v>0.0047297297297297</v>
      </c>
      <c r="E66" s="2">
        <f t="shared" si="2"/>
        <v>5.40916666666667</v>
      </c>
    </row>
    <row r="67" spans="1:5">
      <c r="A67" s="1">
        <v>27.4</v>
      </c>
      <c r="B67" s="1">
        <v>2.484</v>
      </c>
      <c r="C67" s="1">
        <v>329.37999</v>
      </c>
      <c r="D67" s="2">
        <f t="shared" si="1"/>
        <v>0.00480540540540538</v>
      </c>
      <c r="E67" s="2">
        <f t="shared" si="2"/>
        <v>5.4896665</v>
      </c>
    </row>
    <row r="68" spans="1:5">
      <c r="A68" s="1">
        <v>27.5</v>
      </c>
      <c r="B68" s="1">
        <v>2.4923</v>
      </c>
      <c r="C68" s="1">
        <v>334.22001</v>
      </c>
      <c r="D68" s="2">
        <f t="shared" ref="D68:D131" si="3">((B68/$L$3))-0.017572972972973</f>
        <v>0.00488018018018015</v>
      </c>
      <c r="E68" s="2">
        <f t="shared" si="2"/>
        <v>5.5703335</v>
      </c>
    </row>
    <row r="69" spans="1:5">
      <c r="A69" s="1">
        <v>27.6</v>
      </c>
      <c r="B69" s="1">
        <v>2.5007</v>
      </c>
      <c r="C69" s="1">
        <v>339.04999</v>
      </c>
      <c r="D69" s="2">
        <f t="shared" si="3"/>
        <v>0.00495585585585583</v>
      </c>
      <c r="E69" s="2">
        <f t="shared" si="2"/>
        <v>5.65083316666667</v>
      </c>
    </row>
    <row r="70" spans="1:5">
      <c r="A70" s="1">
        <v>27.7</v>
      </c>
      <c r="B70" s="1">
        <v>2.509</v>
      </c>
      <c r="C70" s="1">
        <v>343.88001</v>
      </c>
      <c r="D70" s="2">
        <f t="shared" si="3"/>
        <v>0.0050306306306306</v>
      </c>
      <c r="E70" s="2">
        <f t="shared" si="2"/>
        <v>5.7313335</v>
      </c>
    </row>
    <row r="71" spans="1:5">
      <c r="A71" s="1">
        <v>27.8</v>
      </c>
      <c r="B71" s="1">
        <v>2.5173</v>
      </c>
      <c r="C71" s="1">
        <v>348.71</v>
      </c>
      <c r="D71" s="2">
        <f t="shared" si="3"/>
        <v>0.00510540540540538</v>
      </c>
      <c r="E71" s="2">
        <f t="shared" si="2"/>
        <v>5.81183333333333</v>
      </c>
    </row>
    <row r="72" spans="1:5">
      <c r="A72" s="1">
        <v>27.9</v>
      </c>
      <c r="B72" s="1">
        <v>2.5257</v>
      </c>
      <c r="C72" s="1">
        <v>352.73999</v>
      </c>
      <c r="D72" s="2">
        <f t="shared" si="3"/>
        <v>0.00518108108108106</v>
      </c>
      <c r="E72" s="2">
        <f t="shared" si="2"/>
        <v>5.87899983333333</v>
      </c>
    </row>
    <row r="73" spans="1:5">
      <c r="A73" s="1">
        <v>28</v>
      </c>
      <c r="B73" s="1">
        <v>2.534</v>
      </c>
      <c r="C73" s="1">
        <v>357.57001</v>
      </c>
      <c r="D73" s="2">
        <f t="shared" si="3"/>
        <v>0.00525585585585583</v>
      </c>
      <c r="E73" s="2">
        <f t="shared" si="2"/>
        <v>5.95950016666667</v>
      </c>
    </row>
    <row r="74" spans="1:5">
      <c r="A74" s="1">
        <v>28.1</v>
      </c>
      <c r="B74" s="1">
        <v>2.5423</v>
      </c>
      <c r="C74" s="1">
        <v>362.39999</v>
      </c>
      <c r="D74" s="2">
        <f t="shared" si="3"/>
        <v>0.0053306306306306</v>
      </c>
      <c r="E74" s="2">
        <f t="shared" si="2"/>
        <v>6.03999983333333</v>
      </c>
    </row>
    <row r="75" spans="1:5">
      <c r="A75" s="1">
        <v>28.2</v>
      </c>
      <c r="B75" s="1">
        <v>2.5506</v>
      </c>
      <c r="C75" s="1">
        <v>366.43001</v>
      </c>
      <c r="D75" s="2">
        <f t="shared" si="3"/>
        <v>0.00540540540540538</v>
      </c>
      <c r="E75" s="2">
        <f t="shared" si="2"/>
        <v>6.10716683333333</v>
      </c>
    </row>
    <row r="76" spans="1:5">
      <c r="A76" s="1">
        <v>28.3</v>
      </c>
      <c r="B76" s="1">
        <v>2.559</v>
      </c>
      <c r="C76" s="1">
        <v>371.26</v>
      </c>
      <c r="D76" s="2">
        <f t="shared" si="3"/>
        <v>0.00548108108108105</v>
      </c>
      <c r="E76" s="2">
        <f t="shared" si="2"/>
        <v>6.18766666666667</v>
      </c>
    </row>
    <row r="77" spans="1:5">
      <c r="A77" s="1">
        <v>28.4</v>
      </c>
      <c r="B77" s="1">
        <v>2.5673</v>
      </c>
      <c r="C77" s="1">
        <v>375.28999</v>
      </c>
      <c r="D77" s="2">
        <f t="shared" si="3"/>
        <v>0.00555585585585583</v>
      </c>
      <c r="E77" s="2">
        <f t="shared" si="2"/>
        <v>6.25483316666667</v>
      </c>
    </row>
    <row r="78" spans="1:5">
      <c r="A78" s="1">
        <v>28.5</v>
      </c>
      <c r="B78" s="1">
        <v>2.5756</v>
      </c>
      <c r="C78" s="1">
        <v>380.12001</v>
      </c>
      <c r="D78" s="2">
        <f t="shared" si="3"/>
        <v>0.0056306306306306</v>
      </c>
      <c r="E78" s="2">
        <f t="shared" si="2"/>
        <v>6.3353335</v>
      </c>
    </row>
    <row r="79" spans="1:5">
      <c r="A79" s="1">
        <v>28.6</v>
      </c>
      <c r="B79" s="1">
        <v>2.584</v>
      </c>
      <c r="C79" s="1">
        <v>384.15</v>
      </c>
      <c r="D79" s="2">
        <f t="shared" si="3"/>
        <v>0.00570630630630628</v>
      </c>
      <c r="E79" s="2">
        <f t="shared" si="2"/>
        <v>6.4025</v>
      </c>
    </row>
    <row r="80" spans="1:5">
      <c r="A80" s="1">
        <v>28.7</v>
      </c>
      <c r="B80" s="1">
        <v>2.5923</v>
      </c>
      <c r="C80" s="1">
        <v>388.97999</v>
      </c>
      <c r="D80" s="2">
        <f t="shared" si="3"/>
        <v>0.00578108108108105</v>
      </c>
      <c r="E80" s="2">
        <f t="shared" si="2"/>
        <v>6.48299983333333</v>
      </c>
    </row>
    <row r="81" spans="1:5">
      <c r="A81" s="1">
        <v>28.8</v>
      </c>
      <c r="B81" s="1">
        <v>2.6007</v>
      </c>
      <c r="C81" s="1">
        <v>393.81</v>
      </c>
      <c r="D81" s="2">
        <f t="shared" si="3"/>
        <v>0.00585675675675673</v>
      </c>
      <c r="E81" s="2">
        <f t="shared" si="2"/>
        <v>6.5635</v>
      </c>
    </row>
    <row r="82" spans="1:5">
      <c r="A82" s="1">
        <v>28.9</v>
      </c>
      <c r="B82" s="1">
        <v>2.609</v>
      </c>
      <c r="C82" s="1">
        <v>397.83999</v>
      </c>
      <c r="D82" s="2">
        <f t="shared" si="3"/>
        <v>0.0059315315315315</v>
      </c>
      <c r="E82" s="2">
        <f t="shared" si="2"/>
        <v>6.6306665</v>
      </c>
    </row>
    <row r="83" spans="1:5">
      <c r="A83" s="1">
        <v>29</v>
      </c>
      <c r="B83" s="1">
        <v>2.6173</v>
      </c>
      <c r="C83" s="1">
        <v>401.87001</v>
      </c>
      <c r="D83" s="2">
        <f t="shared" si="3"/>
        <v>0.00600630630630628</v>
      </c>
      <c r="E83" s="2">
        <f t="shared" si="2"/>
        <v>6.6978335</v>
      </c>
    </row>
    <row r="84" spans="1:5">
      <c r="A84" s="1">
        <v>29.1</v>
      </c>
      <c r="B84" s="1">
        <v>2.6256</v>
      </c>
      <c r="C84" s="1">
        <v>405.89</v>
      </c>
      <c r="D84" s="2">
        <f t="shared" si="3"/>
        <v>0.00608108108108105</v>
      </c>
      <c r="E84" s="2">
        <f t="shared" si="2"/>
        <v>6.76483333333333</v>
      </c>
    </row>
    <row r="85" spans="1:5">
      <c r="A85" s="1">
        <v>29.2</v>
      </c>
      <c r="B85" s="1">
        <v>2.634</v>
      </c>
      <c r="C85" s="1">
        <v>409.91999</v>
      </c>
      <c r="D85" s="2">
        <f t="shared" si="3"/>
        <v>0.00615675675675673</v>
      </c>
      <c r="E85" s="2">
        <f t="shared" si="2"/>
        <v>6.83199983333333</v>
      </c>
    </row>
    <row r="86" spans="1:5">
      <c r="A86" s="1">
        <v>29.3</v>
      </c>
      <c r="B86" s="1">
        <v>2.6423</v>
      </c>
      <c r="C86" s="1">
        <v>414.75001</v>
      </c>
      <c r="D86" s="2">
        <f t="shared" si="3"/>
        <v>0.0062315315315315</v>
      </c>
      <c r="E86" s="2">
        <f t="shared" si="2"/>
        <v>6.91250016666667</v>
      </c>
    </row>
    <row r="87" spans="1:5">
      <c r="A87" s="1">
        <v>29.4</v>
      </c>
      <c r="B87" s="1">
        <v>2.6506</v>
      </c>
      <c r="C87" s="1">
        <v>418.78</v>
      </c>
      <c r="D87" s="2">
        <f t="shared" si="3"/>
        <v>0.00630630630630628</v>
      </c>
      <c r="E87" s="2">
        <f t="shared" si="2"/>
        <v>6.97966666666667</v>
      </c>
    </row>
    <row r="88" spans="1:5">
      <c r="A88" s="1">
        <v>29.5</v>
      </c>
      <c r="B88" s="1">
        <v>2.659</v>
      </c>
      <c r="C88" s="1">
        <v>422.79999</v>
      </c>
      <c r="D88" s="2">
        <f t="shared" si="3"/>
        <v>0.00638198198198195</v>
      </c>
      <c r="E88" s="2">
        <f t="shared" si="2"/>
        <v>7.0466665</v>
      </c>
    </row>
    <row r="89" spans="1:5">
      <c r="A89" s="1">
        <v>29.6</v>
      </c>
      <c r="B89" s="1">
        <v>2.6673</v>
      </c>
      <c r="C89" s="1">
        <v>426.83001</v>
      </c>
      <c r="D89" s="2">
        <f t="shared" si="3"/>
        <v>0.00645675675675673</v>
      </c>
      <c r="E89" s="2">
        <f t="shared" si="2"/>
        <v>7.1138335</v>
      </c>
    </row>
    <row r="90" spans="1:5">
      <c r="A90" s="1">
        <v>29.7</v>
      </c>
      <c r="B90" s="1">
        <v>2.6757</v>
      </c>
      <c r="C90" s="1">
        <v>430.86</v>
      </c>
      <c r="D90" s="2">
        <f t="shared" si="3"/>
        <v>0.0065324324324324</v>
      </c>
      <c r="E90" s="2">
        <f t="shared" si="2"/>
        <v>7.181</v>
      </c>
    </row>
    <row r="91" spans="1:5">
      <c r="A91" s="1">
        <v>29.8</v>
      </c>
      <c r="B91" s="1">
        <v>2.684</v>
      </c>
      <c r="C91" s="1">
        <v>434.88999</v>
      </c>
      <c r="D91" s="2">
        <f t="shared" si="3"/>
        <v>0.00660720720720718</v>
      </c>
      <c r="E91" s="2">
        <f t="shared" si="2"/>
        <v>7.2481665</v>
      </c>
    </row>
    <row r="92" spans="1:5">
      <c r="A92" s="1">
        <v>29.9</v>
      </c>
      <c r="B92" s="1">
        <v>2.6923</v>
      </c>
      <c r="C92" s="1">
        <v>438.91001</v>
      </c>
      <c r="D92" s="2">
        <f t="shared" si="3"/>
        <v>0.00668198198198195</v>
      </c>
      <c r="E92" s="2">
        <f t="shared" si="2"/>
        <v>7.31516683333333</v>
      </c>
    </row>
    <row r="93" spans="1:5">
      <c r="A93" s="1">
        <v>30</v>
      </c>
      <c r="B93" s="1">
        <v>2.7006</v>
      </c>
      <c r="C93" s="1">
        <v>442.94</v>
      </c>
      <c r="D93" s="2">
        <f t="shared" si="3"/>
        <v>0.00675675675675673</v>
      </c>
      <c r="E93" s="2">
        <f t="shared" si="2"/>
        <v>7.38233333333333</v>
      </c>
    </row>
    <row r="94" spans="1:5">
      <c r="A94" s="1">
        <v>30.1</v>
      </c>
      <c r="B94" s="1">
        <v>2.709</v>
      </c>
      <c r="C94" s="1">
        <v>446.96999</v>
      </c>
      <c r="D94" s="2">
        <f t="shared" si="3"/>
        <v>0.00683243243243241</v>
      </c>
      <c r="E94" s="2">
        <f t="shared" si="2"/>
        <v>7.44949983333333</v>
      </c>
    </row>
    <row r="95" spans="1:5">
      <c r="A95" s="1">
        <v>30.2</v>
      </c>
      <c r="B95" s="1">
        <v>2.7173</v>
      </c>
      <c r="C95" s="1">
        <v>450.19001</v>
      </c>
      <c r="D95" s="2">
        <f t="shared" si="3"/>
        <v>0.00690720720720718</v>
      </c>
      <c r="E95" s="2">
        <f t="shared" si="2"/>
        <v>7.50316683333333</v>
      </c>
    </row>
    <row r="96" spans="1:5">
      <c r="A96" s="1">
        <v>30.3</v>
      </c>
      <c r="B96" s="1">
        <v>2.7256</v>
      </c>
      <c r="C96" s="1">
        <v>455.02</v>
      </c>
      <c r="D96" s="2">
        <f t="shared" si="3"/>
        <v>0.00698198198198196</v>
      </c>
      <c r="E96" s="2">
        <f t="shared" si="2"/>
        <v>7.58366666666667</v>
      </c>
    </row>
    <row r="97" spans="1:5">
      <c r="A97" s="1">
        <v>30.4</v>
      </c>
      <c r="B97" s="1">
        <v>2.7339</v>
      </c>
      <c r="C97" s="1">
        <v>458.23999</v>
      </c>
      <c r="D97" s="2">
        <f t="shared" si="3"/>
        <v>0.00705675675675673</v>
      </c>
      <c r="E97" s="2">
        <f t="shared" si="2"/>
        <v>7.63733316666667</v>
      </c>
    </row>
    <row r="98" spans="1:5">
      <c r="A98" s="1">
        <v>30.5</v>
      </c>
      <c r="B98" s="1">
        <v>2.7423</v>
      </c>
      <c r="C98" s="1">
        <v>461.46001</v>
      </c>
      <c r="D98" s="2">
        <f t="shared" si="3"/>
        <v>0.00713243243243241</v>
      </c>
      <c r="E98" s="2">
        <f t="shared" si="2"/>
        <v>7.69100016666667</v>
      </c>
    </row>
    <row r="99" spans="1:5">
      <c r="A99" s="1">
        <v>30.6</v>
      </c>
      <c r="B99" s="1">
        <v>2.7507</v>
      </c>
      <c r="C99" s="1">
        <v>465.49</v>
      </c>
      <c r="D99" s="2">
        <f t="shared" si="3"/>
        <v>0.00720810810810808</v>
      </c>
      <c r="E99" s="2">
        <f t="shared" si="2"/>
        <v>7.75816666666667</v>
      </c>
    </row>
    <row r="100" spans="1:5">
      <c r="A100" s="1">
        <v>30.7</v>
      </c>
      <c r="B100" s="1">
        <v>2.759</v>
      </c>
      <c r="C100" s="1">
        <v>468.70999</v>
      </c>
      <c r="D100" s="2">
        <f t="shared" si="3"/>
        <v>0.00728288288288285</v>
      </c>
      <c r="E100" s="2">
        <f t="shared" si="2"/>
        <v>7.81183316666667</v>
      </c>
    </row>
    <row r="101" spans="1:5">
      <c r="A101" s="1">
        <v>30.8</v>
      </c>
      <c r="B101" s="1">
        <v>2.7673</v>
      </c>
      <c r="C101" s="1">
        <v>472.74001</v>
      </c>
      <c r="D101" s="2">
        <f t="shared" si="3"/>
        <v>0.00735765765765763</v>
      </c>
      <c r="E101" s="2">
        <f t="shared" si="2"/>
        <v>7.87900016666667</v>
      </c>
    </row>
    <row r="102" spans="1:5">
      <c r="A102" s="1">
        <v>30.9</v>
      </c>
      <c r="B102" s="1">
        <v>2.7756</v>
      </c>
      <c r="C102" s="1">
        <v>475.96</v>
      </c>
      <c r="D102" s="2">
        <f t="shared" si="3"/>
        <v>0.00743243243243241</v>
      </c>
      <c r="E102" s="2">
        <f t="shared" si="2"/>
        <v>7.93266666666667</v>
      </c>
    </row>
    <row r="103" spans="1:5">
      <c r="A103" s="1">
        <v>31</v>
      </c>
      <c r="B103" s="1">
        <v>2.784</v>
      </c>
      <c r="C103" s="1">
        <v>479.17999</v>
      </c>
      <c r="D103" s="2">
        <f t="shared" si="3"/>
        <v>0.00750810810810808</v>
      </c>
      <c r="E103" s="2">
        <f t="shared" si="2"/>
        <v>7.98633316666667</v>
      </c>
    </row>
    <row r="104" spans="1:5">
      <c r="A104" s="1">
        <v>31.1</v>
      </c>
      <c r="B104" s="1">
        <v>2.7923</v>
      </c>
      <c r="C104" s="1">
        <v>482.39999</v>
      </c>
      <c r="D104" s="2">
        <f t="shared" si="3"/>
        <v>0.00758288288288286</v>
      </c>
      <c r="E104" s="2">
        <f t="shared" si="2"/>
        <v>8.03999983333333</v>
      </c>
    </row>
    <row r="105" spans="1:5">
      <c r="A105" s="1">
        <v>31.2</v>
      </c>
      <c r="B105" s="1">
        <v>2.8006</v>
      </c>
      <c r="C105" s="1">
        <v>486.43</v>
      </c>
      <c r="D105" s="2">
        <f t="shared" si="3"/>
        <v>0.00765765765765763</v>
      </c>
      <c r="E105" s="2">
        <f t="shared" si="2"/>
        <v>8.10716666666667</v>
      </c>
    </row>
    <row r="106" spans="1:5">
      <c r="A106" s="1">
        <v>31.3</v>
      </c>
      <c r="B106" s="1">
        <v>2.8089</v>
      </c>
      <c r="C106" s="1">
        <v>489.65</v>
      </c>
      <c r="D106" s="2">
        <f t="shared" si="3"/>
        <v>0.0077324324324324</v>
      </c>
      <c r="E106" s="2">
        <f t="shared" si="2"/>
        <v>8.16083333333333</v>
      </c>
    </row>
    <row r="107" spans="1:5">
      <c r="A107" s="1">
        <v>31.4</v>
      </c>
      <c r="B107" s="1">
        <v>2.8173</v>
      </c>
      <c r="C107" s="1">
        <v>492.86999</v>
      </c>
      <c r="D107" s="2">
        <f t="shared" si="3"/>
        <v>0.00780810810810808</v>
      </c>
      <c r="E107" s="2">
        <f t="shared" si="2"/>
        <v>8.21449983333333</v>
      </c>
    </row>
    <row r="108" spans="1:5">
      <c r="A108" s="1">
        <v>31.5</v>
      </c>
      <c r="B108" s="1">
        <v>2.8257</v>
      </c>
      <c r="C108" s="1">
        <v>496.08998</v>
      </c>
      <c r="D108" s="2">
        <f t="shared" si="3"/>
        <v>0.00788378378378376</v>
      </c>
      <c r="E108" s="2">
        <f t="shared" si="2"/>
        <v>8.26816633333333</v>
      </c>
    </row>
    <row r="109" spans="1:5">
      <c r="A109" s="1">
        <v>31.6</v>
      </c>
      <c r="B109" s="1">
        <v>2.834</v>
      </c>
      <c r="C109" s="1">
        <v>499.31003</v>
      </c>
      <c r="D109" s="2">
        <f t="shared" si="3"/>
        <v>0.00795855855855853</v>
      </c>
      <c r="E109" s="2">
        <f t="shared" si="2"/>
        <v>8.32183383333333</v>
      </c>
    </row>
    <row r="110" spans="1:5">
      <c r="A110" s="1">
        <v>31.7</v>
      </c>
      <c r="B110" s="1">
        <v>2.8423</v>
      </c>
      <c r="C110" s="1">
        <v>502.53002</v>
      </c>
      <c r="D110" s="2">
        <f t="shared" si="3"/>
        <v>0.00803333333333331</v>
      </c>
      <c r="E110" s="2">
        <f t="shared" si="2"/>
        <v>8.37550033333333</v>
      </c>
    </row>
    <row r="111" spans="1:5">
      <c r="A111" s="1">
        <v>31.8</v>
      </c>
      <c r="B111" s="1">
        <v>2.8506</v>
      </c>
      <c r="C111" s="1">
        <v>505.76001</v>
      </c>
      <c r="D111" s="2">
        <f t="shared" si="3"/>
        <v>0.00810810810810808</v>
      </c>
      <c r="E111" s="2">
        <f t="shared" si="2"/>
        <v>8.4293335</v>
      </c>
    </row>
    <row r="112" spans="1:5">
      <c r="A112" s="1">
        <v>31.9</v>
      </c>
      <c r="B112" s="1">
        <v>2.859</v>
      </c>
      <c r="C112" s="1">
        <v>508.98001</v>
      </c>
      <c r="D112" s="2">
        <f t="shared" si="3"/>
        <v>0.00818378378378376</v>
      </c>
      <c r="E112" s="2">
        <f t="shared" si="2"/>
        <v>8.48300016666667</v>
      </c>
    </row>
    <row r="113" spans="1:5">
      <c r="A113" s="1">
        <v>32</v>
      </c>
      <c r="B113" s="1">
        <v>2.8673</v>
      </c>
      <c r="C113" s="1">
        <v>512.2</v>
      </c>
      <c r="D113" s="2">
        <f t="shared" si="3"/>
        <v>0.00825855855855853</v>
      </c>
      <c r="E113" s="2">
        <f t="shared" ref="E113:E149" si="4">C113/$L$4</f>
        <v>8.53666666666667</v>
      </c>
    </row>
    <row r="114" spans="1:5">
      <c r="A114" s="1">
        <v>32.1</v>
      </c>
      <c r="B114" s="1">
        <v>2.8756</v>
      </c>
      <c r="C114" s="1">
        <v>514.61002</v>
      </c>
      <c r="D114" s="2">
        <f t="shared" si="3"/>
        <v>0.00833333333333331</v>
      </c>
      <c r="E114" s="2">
        <f t="shared" si="4"/>
        <v>8.57683366666667</v>
      </c>
    </row>
    <row r="115" spans="1:5">
      <c r="A115" s="1">
        <v>32.2</v>
      </c>
      <c r="B115" s="1">
        <v>2.8839</v>
      </c>
      <c r="C115" s="1">
        <v>517.84001</v>
      </c>
      <c r="D115" s="2">
        <f t="shared" si="3"/>
        <v>0.00840810810810808</v>
      </c>
      <c r="E115" s="2">
        <f t="shared" si="4"/>
        <v>8.63066683333333</v>
      </c>
    </row>
    <row r="116" spans="1:5">
      <c r="A116" s="1">
        <v>32.3</v>
      </c>
      <c r="B116" s="1">
        <v>2.8923</v>
      </c>
      <c r="C116" s="1">
        <v>521.06</v>
      </c>
      <c r="D116" s="2">
        <f t="shared" si="3"/>
        <v>0.00848378378378376</v>
      </c>
      <c r="E116" s="2">
        <f t="shared" si="4"/>
        <v>8.68433333333333</v>
      </c>
    </row>
    <row r="117" spans="1:5">
      <c r="A117" s="1">
        <v>32.4</v>
      </c>
      <c r="B117" s="1">
        <v>2.9007</v>
      </c>
      <c r="C117" s="1">
        <v>523.47003</v>
      </c>
      <c r="D117" s="2">
        <f t="shared" si="3"/>
        <v>0.00855945945945943</v>
      </c>
      <c r="E117" s="2">
        <f t="shared" si="4"/>
        <v>8.7245005</v>
      </c>
    </row>
    <row r="118" spans="1:5">
      <c r="A118" s="1">
        <v>32.5</v>
      </c>
      <c r="B118" s="1">
        <v>2.909</v>
      </c>
      <c r="C118" s="1">
        <v>525.88999</v>
      </c>
      <c r="D118" s="2">
        <f t="shared" si="3"/>
        <v>0.00863423423423421</v>
      </c>
      <c r="E118" s="2">
        <f t="shared" si="4"/>
        <v>8.76483316666667</v>
      </c>
    </row>
    <row r="119" spans="1:5">
      <c r="A119" s="1">
        <v>32.6</v>
      </c>
      <c r="B119" s="1">
        <v>2.9173</v>
      </c>
      <c r="C119" s="1">
        <v>529.10998</v>
      </c>
      <c r="D119" s="2">
        <f t="shared" si="3"/>
        <v>0.00870900900900898</v>
      </c>
      <c r="E119" s="2">
        <f t="shared" si="4"/>
        <v>8.81849966666667</v>
      </c>
    </row>
    <row r="120" spans="1:5">
      <c r="A120" s="1">
        <v>32.7</v>
      </c>
      <c r="B120" s="1">
        <v>2.9256</v>
      </c>
      <c r="C120" s="1">
        <v>531.53001</v>
      </c>
      <c r="D120" s="2">
        <f t="shared" si="3"/>
        <v>0.00878378378378376</v>
      </c>
      <c r="E120" s="2">
        <f t="shared" si="4"/>
        <v>8.8588335</v>
      </c>
    </row>
    <row r="121" spans="1:5">
      <c r="A121" s="1">
        <v>32.8</v>
      </c>
      <c r="B121" s="1">
        <v>2.934</v>
      </c>
      <c r="C121" s="1">
        <v>534.75</v>
      </c>
      <c r="D121" s="2">
        <f t="shared" si="3"/>
        <v>0.00885945945945943</v>
      </c>
      <c r="E121" s="2">
        <f t="shared" si="4"/>
        <v>8.9125</v>
      </c>
    </row>
    <row r="122" spans="1:5">
      <c r="A122" s="1">
        <v>32.9</v>
      </c>
      <c r="B122" s="1">
        <v>2.9423</v>
      </c>
      <c r="C122" s="1">
        <v>537.16002</v>
      </c>
      <c r="D122" s="2">
        <f t="shared" si="3"/>
        <v>0.00893423423423421</v>
      </c>
      <c r="E122" s="2">
        <f t="shared" si="4"/>
        <v>8.952667</v>
      </c>
    </row>
    <row r="123" spans="1:5">
      <c r="A123" s="1">
        <v>33</v>
      </c>
      <c r="B123" s="1">
        <v>2.9506</v>
      </c>
      <c r="C123" s="1">
        <v>538.78002</v>
      </c>
      <c r="D123" s="2">
        <f t="shared" si="3"/>
        <v>0.00900900900900898</v>
      </c>
      <c r="E123" s="2">
        <f t="shared" si="4"/>
        <v>8.979667</v>
      </c>
    </row>
    <row r="124" spans="1:5">
      <c r="A124" s="1">
        <v>33.1</v>
      </c>
      <c r="B124" s="1">
        <v>2.9589</v>
      </c>
      <c r="C124" s="1">
        <v>542.00001</v>
      </c>
      <c r="D124" s="2">
        <f t="shared" si="3"/>
        <v>0.00908378378378375</v>
      </c>
      <c r="E124" s="2">
        <f t="shared" si="4"/>
        <v>9.0333335</v>
      </c>
    </row>
    <row r="125" spans="1:5">
      <c r="A125" s="1">
        <v>33.2</v>
      </c>
      <c r="B125" s="1">
        <v>2.9673</v>
      </c>
      <c r="C125" s="1">
        <v>544.40998</v>
      </c>
      <c r="D125" s="2">
        <f t="shared" si="3"/>
        <v>0.00915945945945943</v>
      </c>
      <c r="E125" s="2">
        <f t="shared" si="4"/>
        <v>9.07349966666667</v>
      </c>
    </row>
    <row r="126" spans="1:5">
      <c r="A126" s="1">
        <v>33.3</v>
      </c>
      <c r="B126" s="1">
        <v>2.9757</v>
      </c>
      <c r="C126" s="1">
        <v>546.83</v>
      </c>
      <c r="D126" s="2">
        <f t="shared" si="3"/>
        <v>0.00923513513513511</v>
      </c>
      <c r="E126" s="2">
        <f t="shared" si="4"/>
        <v>9.11383333333333</v>
      </c>
    </row>
    <row r="127" spans="1:5">
      <c r="A127" s="1">
        <v>33.4</v>
      </c>
      <c r="B127" s="1">
        <v>2.984</v>
      </c>
      <c r="C127" s="1">
        <v>549.25002</v>
      </c>
      <c r="D127" s="2">
        <f t="shared" si="3"/>
        <v>0.00930990990990988</v>
      </c>
      <c r="E127" s="2">
        <f t="shared" si="4"/>
        <v>9.154167</v>
      </c>
    </row>
    <row r="128" spans="1:5">
      <c r="A128" s="1">
        <v>33.5</v>
      </c>
      <c r="B128" s="1">
        <v>2.9923</v>
      </c>
      <c r="C128" s="1">
        <v>551.65999</v>
      </c>
      <c r="D128" s="2">
        <f t="shared" si="3"/>
        <v>0.00938468468468466</v>
      </c>
      <c r="E128" s="2">
        <f t="shared" si="4"/>
        <v>9.19433316666667</v>
      </c>
    </row>
    <row r="129" spans="1:5">
      <c r="A129" s="1">
        <v>33.6</v>
      </c>
      <c r="B129" s="1">
        <v>3.0006</v>
      </c>
      <c r="C129" s="1">
        <v>553.26998</v>
      </c>
      <c r="D129" s="2">
        <f t="shared" si="3"/>
        <v>0.00945945945945943</v>
      </c>
      <c r="E129" s="2">
        <f t="shared" si="4"/>
        <v>9.22116633333333</v>
      </c>
    </row>
    <row r="130" spans="1:5">
      <c r="A130" s="1">
        <v>33.7</v>
      </c>
      <c r="B130" s="1">
        <v>3.009</v>
      </c>
      <c r="C130" s="1">
        <v>555.69001</v>
      </c>
      <c r="D130" s="2">
        <f t="shared" si="3"/>
        <v>0.00953513513513511</v>
      </c>
      <c r="E130" s="2">
        <f t="shared" si="4"/>
        <v>9.26150016666667</v>
      </c>
    </row>
    <row r="131" spans="1:5">
      <c r="A131" s="1">
        <v>33.8</v>
      </c>
      <c r="B131" s="1">
        <v>3.0173</v>
      </c>
      <c r="C131" s="1">
        <v>557.3</v>
      </c>
      <c r="D131" s="2">
        <f t="shared" si="3"/>
        <v>0.00960990990990988</v>
      </c>
      <c r="E131" s="2">
        <f t="shared" si="4"/>
        <v>9.28833333333333</v>
      </c>
    </row>
    <row r="132" spans="1:5">
      <c r="A132" s="1">
        <v>33.9</v>
      </c>
      <c r="B132" s="1">
        <v>3.0256</v>
      </c>
      <c r="C132" s="1">
        <v>558.91</v>
      </c>
      <c r="D132" s="2">
        <f t="shared" ref="D132:D149" si="5">((B132/$L$3))-0.017572972972973</f>
        <v>0.00968468468468466</v>
      </c>
      <c r="E132" s="2">
        <f t="shared" si="4"/>
        <v>9.31516666666667</v>
      </c>
    </row>
    <row r="133" spans="1:5">
      <c r="A133" s="1">
        <v>34</v>
      </c>
      <c r="B133" s="1">
        <v>3.0339</v>
      </c>
      <c r="C133" s="1">
        <v>560.51999</v>
      </c>
      <c r="D133" s="2">
        <f t="shared" si="5"/>
        <v>0.00975945945945943</v>
      </c>
      <c r="E133" s="2">
        <f t="shared" si="4"/>
        <v>9.34199983333333</v>
      </c>
    </row>
    <row r="134" spans="1:5">
      <c r="A134" s="1">
        <v>34.1</v>
      </c>
      <c r="B134" s="1">
        <v>3.0423</v>
      </c>
      <c r="C134" s="1">
        <v>562.12999</v>
      </c>
      <c r="D134" s="2">
        <f t="shared" si="5"/>
        <v>0.00983513513513511</v>
      </c>
      <c r="E134" s="2">
        <f t="shared" si="4"/>
        <v>9.36883316666667</v>
      </c>
    </row>
    <row r="135" spans="1:5">
      <c r="A135" s="1">
        <v>34.2</v>
      </c>
      <c r="B135" s="1">
        <v>3.0507</v>
      </c>
      <c r="C135" s="1">
        <v>563.73999</v>
      </c>
      <c r="D135" s="2">
        <f t="shared" si="5"/>
        <v>0.00991081081081078</v>
      </c>
      <c r="E135" s="2">
        <f t="shared" si="4"/>
        <v>9.3956665</v>
      </c>
    </row>
    <row r="136" spans="1:5">
      <c r="A136" s="1">
        <v>34.3</v>
      </c>
      <c r="B136" s="1">
        <v>3.059</v>
      </c>
      <c r="C136" s="1">
        <v>565.34998</v>
      </c>
      <c r="D136" s="2">
        <f t="shared" si="5"/>
        <v>0.00998558558558556</v>
      </c>
      <c r="E136" s="2">
        <f t="shared" si="4"/>
        <v>9.42249966666667</v>
      </c>
    </row>
    <row r="137" spans="1:5">
      <c r="A137" s="1">
        <v>34.4</v>
      </c>
      <c r="B137" s="1">
        <v>3.0673</v>
      </c>
      <c r="C137" s="1">
        <v>566.95998</v>
      </c>
      <c r="D137" s="2">
        <f t="shared" si="5"/>
        <v>0.0100603603603603</v>
      </c>
      <c r="E137" s="2">
        <f t="shared" si="4"/>
        <v>9.449333</v>
      </c>
    </row>
    <row r="138" spans="1:5">
      <c r="A138" s="1">
        <v>34.5</v>
      </c>
      <c r="B138" s="1">
        <v>3.0756</v>
      </c>
      <c r="C138" s="1">
        <v>567.77</v>
      </c>
      <c r="D138" s="2">
        <f t="shared" si="5"/>
        <v>0.0101351351351351</v>
      </c>
      <c r="E138" s="2">
        <f t="shared" si="4"/>
        <v>9.46283333333333</v>
      </c>
    </row>
    <row r="139" spans="1:5">
      <c r="A139" s="1">
        <v>34.6</v>
      </c>
      <c r="B139" s="1">
        <v>3.084</v>
      </c>
      <c r="C139" s="1">
        <v>568.56997</v>
      </c>
      <c r="D139" s="2">
        <f t="shared" si="5"/>
        <v>0.0102108108108108</v>
      </c>
      <c r="E139" s="2">
        <f t="shared" si="4"/>
        <v>9.47616616666667</v>
      </c>
    </row>
    <row r="140" spans="1:5">
      <c r="A140" s="1">
        <v>34.7</v>
      </c>
      <c r="B140" s="1">
        <v>3.0923</v>
      </c>
      <c r="C140" s="1">
        <v>569.38</v>
      </c>
      <c r="D140" s="2">
        <f t="shared" si="5"/>
        <v>0.0102855855855856</v>
      </c>
      <c r="E140" s="2">
        <f t="shared" si="4"/>
        <v>9.48966666666667</v>
      </c>
    </row>
    <row r="141" spans="1:5">
      <c r="A141" s="1">
        <v>34.8</v>
      </c>
      <c r="B141" s="1">
        <v>3.1006</v>
      </c>
      <c r="C141" s="1">
        <v>569.38</v>
      </c>
      <c r="D141" s="2">
        <f t="shared" si="5"/>
        <v>0.0103603603603603</v>
      </c>
      <c r="E141" s="2">
        <f t="shared" si="4"/>
        <v>9.48966666666667</v>
      </c>
    </row>
    <row r="142" spans="1:5">
      <c r="A142" s="1">
        <v>34.9</v>
      </c>
      <c r="B142" s="1">
        <v>3.1089</v>
      </c>
      <c r="C142" s="1">
        <v>570.18002</v>
      </c>
      <c r="D142" s="2">
        <f t="shared" si="5"/>
        <v>0.0104351351351351</v>
      </c>
      <c r="E142" s="2">
        <f t="shared" si="4"/>
        <v>9.50300033333333</v>
      </c>
    </row>
    <row r="143" spans="1:5">
      <c r="A143" s="1">
        <v>35</v>
      </c>
      <c r="B143" s="1">
        <v>3.1173</v>
      </c>
      <c r="C143" s="1">
        <v>570.18002</v>
      </c>
      <c r="D143" s="2">
        <f t="shared" si="5"/>
        <v>0.0105108108108108</v>
      </c>
      <c r="E143" s="2">
        <f t="shared" si="4"/>
        <v>9.50300033333333</v>
      </c>
    </row>
    <row r="144" spans="1:5">
      <c r="A144" s="1">
        <v>35.1</v>
      </c>
      <c r="B144" s="1">
        <v>3.1257</v>
      </c>
      <c r="C144" s="1">
        <v>569.38</v>
      </c>
      <c r="D144" s="2">
        <f t="shared" si="5"/>
        <v>0.0105864864864865</v>
      </c>
      <c r="E144" s="2">
        <f t="shared" si="4"/>
        <v>9.48966666666667</v>
      </c>
    </row>
    <row r="145" spans="1:5">
      <c r="A145" s="1">
        <v>35.2</v>
      </c>
      <c r="B145" s="1">
        <v>3.134</v>
      </c>
      <c r="C145" s="1">
        <v>568.56997</v>
      </c>
      <c r="D145" s="2">
        <f t="shared" si="5"/>
        <v>0.0106612612612612</v>
      </c>
      <c r="E145" s="2">
        <f t="shared" si="4"/>
        <v>9.47616616666667</v>
      </c>
    </row>
    <row r="146" spans="1:5">
      <c r="A146" s="1">
        <v>35.3</v>
      </c>
      <c r="B146" s="1">
        <v>3.1423</v>
      </c>
      <c r="C146" s="1">
        <v>567.77</v>
      </c>
      <c r="D146" s="2">
        <f t="shared" si="5"/>
        <v>0.010736036036036</v>
      </c>
      <c r="E146" s="2">
        <f t="shared" si="4"/>
        <v>9.46283333333333</v>
      </c>
    </row>
    <row r="147" spans="1:5">
      <c r="A147" s="1">
        <v>35.4</v>
      </c>
      <c r="B147" s="1">
        <v>3.1506</v>
      </c>
      <c r="C147" s="1">
        <v>566.16001</v>
      </c>
      <c r="D147" s="2">
        <f t="shared" si="5"/>
        <v>0.0108108108108108</v>
      </c>
      <c r="E147" s="2">
        <f t="shared" si="4"/>
        <v>9.43600016666667</v>
      </c>
    </row>
    <row r="148" spans="1:5">
      <c r="A148" s="1">
        <v>35.5</v>
      </c>
      <c r="B148" s="1">
        <v>3.159</v>
      </c>
      <c r="C148" s="1">
        <v>562.94002</v>
      </c>
      <c r="D148" s="2">
        <f t="shared" si="5"/>
        <v>0.0108864864864865</v>
      </c>
      <c r="E148" s="2">
        <f t="shared" si="4"/>
        <v>9.38233366666667</v>
      </c>
    </row>
    <row r="149" spans="1:5">
      <c r="D149" s="2"/>
      <c r="E149" s="2"/>
    </row>
    <row r="150" spans="1:5">
      <c r="D150" s="2"/>
      <c r="E150" s="2"/>
    </row>
    <row r="151" spans="1:5">
      <c r="D151" s="2"/>
      <c r="E151" s="2"/>
    </row>
    <row r="152" spans="1:5">
      <c r="D152" s="2"/>
      <c r="E152" s="2"/>
    </row>
    <row r="153" spans="1:5">
      <c r="D153" s="2"/>
      <c r="E153" s="2"/>
    </row>
    <row r="154" spans="1:5">
      <c r="D154" s="2"/>
      <c r="E154" s="2"/>
    </row>
    <row r="155" spans="1:5">
      <c r="D155" s="2"/>
      <c r="E155" s="2"/>
    </row>
    <row r="156" spans="1:5">
      <c r="D156" s="2"/>
      <c r="E156" s="2"/>
    </row>
    <row r="157" spans="1:5">
      <c r="D157" s="2"/>
      <c r="E157" s="2"/>
    </row>
    <row r="158" spans="1:5">
      <c r="D158" s="2"/>
      <c r="E158" s="2"/>
    </row>
    <row r="159" spans="1:5">
      <c r="D159" s="2"/>
      <c r="E159" s="2"/>
    </row>
    <row r="160" spans="1:5">
      <c r="D160" s="2"/>
      <c r="E160" s="2"/>
    </row>
    <row r="161" spans="4:5">
      <c r="D161" s="2"/>
      <c r="E161" s="2"/>
    </row>
    <row r="162" spans="4:5">
      <c r="D162" s="2"/>
      <c r="E162" s="2"/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4"/>
  <sheetViews>
    <sheetView tabSelected="1" workbookViewId="0">
      <selection activeCell="J13" sqref="J13"/>
    </sheetView>
  </sheetViews>
  <sheetFormatPr defaultColWidth="9" defaultRowHeight="14"/>
  <cols>
    <col min="1" max="3" width="8.84166666666667" style="1"/>
    <col min="4" max="4" width="10.7916666666667" customWidth="1"/>
    <col min="5" max="5" width="7.1" customWidth="1"/>
  </cols>
  <sheetData>
    <row r="1" spans="1:13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</row>
    <row r="2" spans="1:13">
      <c r="A2" s="1" t="s">
        <v>5</v>
      </c>
      <c r="B2" s="1" t="s">
        <v>6</v>
      </c>
      <c r="C2" s="1" t="s">
        <v>7</v>
      </c>
      <c r="D2" s="2" t="s">
        <v>8</v>
      </c>
      <c r="E2" s="2" t="s">
        <v>9</v>
      </c>
    </row>
    <row r="3" spans="1:13">
      <c r="A3" s="1">
        <v>20.8</v>
      </c>
      <c r="B3" s="1">
        <v>1.7316</v>
      </c>
      <c r="C3" s="1">
        <v>15.3</v>
      </c>
      <c r="D3" s="2">
        <f>((B3/$L$3))-0.0156</f>
        <v>0</v>
      </c>
      <c r="E3" s="2">
        <f t="shared" ref="E3:E50" si="0">C3/$L$4</f>
        <v>0.255</v>
      </c>
      <c r="K3" t="s">
        <v>10</v>
      </c>
      <c r="L3">
        <v>111</v>
      </c>
      <c r="M3" t="s">
        <v>11</v>
      </c>
    </row>
    <row r="4" spans="1:13">
      <c r="A4" s="1">
        <v>20.9</v>
      </c>
      <c r="B4" s="1">
        <v>1.7399</v>
      </c>
      <c r="C4" s="1">
        <v>19.32</v>
      </c>
      <c r="D4" s="2">
        <f t="shared" ref="D4:D67" si="1">((B4/$L$3))-0.0156</f>
        <v>7.47747747747753e-5</v>
      </c>
      <c r="E4" s="2">
        <f t="shared" si="0"/>
        <v>0.322</v>
      </c>
      <c r="K4" t="s">
        <v>12</v>
      </c>
      <c r="L4">
        <f>10*6</f>
        <v>60</v>
      </c>
      <c r="M4" t="s">
        <v>13</v>
      </c>
    </row>
    <row r="5" spans="1:13">
      <c r="A5" s="1">
        <v>21</v>
      </c>
      <c r="B5" s="1">
        <v>1.7483</v>
      </c>
      <c r="C5" s="1">
        <v>24.16</v>
      </c>
      <c r="D5" s="2">
        <f t="shared" si="1"/>
        <v>0.000150450450450451</v>
      </c>
      <c r="E5" s="2">
        <f t="shared" si="0"/>
        <v>0.402666666666667</v>
      </c>
    </row>
    <row r="6" spans="1:13">
      <c r="A6" s="1">
        <v>21.1</v>
      </c>
      <c r="B6" s="1">
        <v>1.7566</v>
      </c>
      <c r="C6" s="1">
        <v>28.99</v>
      </c>
      <c r="D6" s="2">
        <f t="shared" si="1"/>
        <v>0.000225225225225226</v>
      </c>
      <c r="E6" s="2">
        <f t="shared" si="0"/>
        <v>0.483166666666667</v>
      </c>
    </row>
    <row r="7" spans="1:13">
      <c r="A7" s="1">
        <v>21.2</v>
      </c>
      <c r="B7" s="1">
        <v>1.7649</v>
      </c>
      <c r="C7" s="1">
        <v>34.63</v>
      </c>
      <c r="D7" s="2">
        <f t="shared" si="1"/>
        <v>0.000300000000000002</v>
      </c>
      <c r="E7" s="2">
        <f t="shared" si="0"/>
        <v>0.577166666666667</v>
      </c>
    </row>
    <row r="8" spans="1:13">
      <c r="A8" s="1">
        <v>21.3</v>
      </c>
      <c r="B8" s="1">
        <v>1.7732</v>
      </c>
      <c r="C8" s="1">
        <v>38.65</v>
      </c>
      <c r="D8" s="2">
        <f t="shared" si="1"/>
        <v>0.000374774774774777</v>
      </c>
      <c r="E8" s="2">
        <f t="shared" si="0"/>
        <v>0.644166666666667</v>
      </c>
    </row>
    <row r="9" spans="1:13">
      <c r="A9" s="1">
        <v>21.4</v>
      </c>
      <c r="B9" s="1">
        <v>1.7816</v>
      </c>
      <c r="C9" s="1">
        <v>44.29</v>
      </c>
      <c r="D9" s="2">
        <f t="shared" si="1"/>
        <v>0.000450450450450453</v>
      </c>
      <c r="E9" s="2">
        <f t="shared" si="0"/>
        <v>0.738166666666667</v>
      </c>
    </row>
    <row r="10" spans="1:13">
      <c r="A10" s="1">
        <v>21.5</v>
      </c>
      <c r="B10" s="1">
        <v>1.7899</v>
      </c>
      <c r="C10" s="1">
        <v>49.12</v>
      </c>
      <c r="D10" s="2">
        <f t="shared" si="1"/>
        <v>0.000525225225225228</v>
      </c>
      <c r="E10" s="2">
        <f t="shared" si="0"/>
        <v>0.818666666666667</v>
      </c>
    </row>
    <row r="11" spans="1:13">
      <c r="A11" s="1">
        <v>21.6</v>
      </c>
      <c r="B11" s="1">
        <v>1.7982</v>
      </c>
      <c r="C11" s="1">
        <v>54.76</v>
      </c>
      <c r="D11" s="2">
        <f t="shared" si="1"/>
        <v>0.0006</v>
      </c>
      <c r="E11" s="2">
        <f t="shared" si="0"/>
        <v>0.912666666666667</v>
      </c>
    </row>
    <row r="12" spans="1:13">
      <c r="A12" s="1">
        <v>21.7</v>
      </c>
      <c r="B12" s="1">
        <v>1.8066</v>
      </c>
      <c r="C12" s="1">
        <v>59.59</v>
      </c>
      <c r="D12" s="2">
        <f t="shared" si="1"/>
        <v>0.000675675675675676</v>
      </c>
      <c r="E12" s="2">
        <f t="shared" si="0"/>
        <v>0.993166666666667</v>
      </c>
    </row>
    <row r="13" spans="1:13">
      <c r="A13" s="1">
        <v>21.8</v>
      </c>
      <c r="B13" s="1">
        <v>1.8149</v>
      </c>
      <c r="C13" s="1">
        <v>65.23</v>
      </c>
      <c r="D13" s="2">
        <f t="shared" si="1"/>
        <v>0.000750450450450451</v>
      </c>
      <c r="E13" s="2">
        <f t="shared" si="0"/>
        <v>1.08716666666667</v>
      </c>
    </row>
    <row r="14" spans="1:13">
      <c r="A14" s="1">
        <v>21.9</v>
      </c>
      <c r="B14" s="1">
        <v>1.8233</v>
      </c>
      <c r="C14" s="1">
        <v>70.06</v>
      </c>
      <c r="D14" s="2">
        <f t="shared" si="1"/>
        <v>0.000826126126126127</v>
      </c>
      <c r="E14" s="2">
        <f t="shared" si="0"/>
        <v>1.16766666666667</v>
      </c>
    </row>
    <row r="15" spans="1:13">
      <c r="A15" s="1">
        <v>22</v>
      </c>
      <c r="B15" s="1">
        <v>1.8316</v>
      </c>
      <c r="C15" s="1">
        <v>74.89</v>
      </c>
      <c r="D15" s="2">
        <f t="shared" si="1"/>
        <v>0.000900900900900902</v>
      </c>
      <c r="E15" s="2">
        <f t="shared" si="0"/>
        <v>1.24816666666667</v>
      </c>
    </row>
    <row r="16" spans="1:13">
      <c r="A16" s="1">
        <v>22.1</v>
      </c>
      <c r="B16" s="1">
        <v>1.8399</v>
      </c>
      <c r="C16" s="1">
        <v>79.72</v>
      </c>
      <c r="D16" s="2">
        <f t="shared" si="1"/>
        <v>0.000975675675675677</v>
      </c>
      <c r="E16" s="2">
        <f t="shared" si="0"/>
        <v>1.32866666666667</v>
      </c>
    </row>
    <row r="17" spans="1:13">
      <c r="A17" s="1">
        <v>22.2</v>
      </c>
      <c r="B17" s="1">
        <v>1.8482</v>
      </c>
      <c r="C17" s="1">
        <v>84.56</v>
      </c>
      <c r="D17" s="2">
        <f t="shared" si="1"/>
        <v>0.00105045045045045</v>
      </c>
      <c r="E17" s="2">
        <f t="shared" si="0"/>
        <v>1.40933333333333</v>
      </c>
    </row>
    <row r="18" spans="1:13">
      <c r="A18" s="1">
        <v>22.3</v>
      </c>
      <c r="B18" s="1">
        <v>1.8566</v>
      </c>
      <c r="C18" s="1">
        <v>90.19</v>
      </c>
      <c r="D18" s="2">
        <f t="shared" si="1"/>
        <v>0.00112612612612613</v>
      </c>
      <c r="E18" s="2">
        <f t="shared" si="0"/>
        <v>1.50316666666667</v>
      </c>
    </row>
    <row r="19" spans="1:13">
      <c r="A19" s="1">
        <v>22.4</v>
      </c>
      <c r="B19" s="1">
        <v>1.8649</v>
      </c>
      <c r="C19" s="1">
        <v>95.03</v>
      </c>
      <c r="D19" s="2">
        <f t="shared" si="1"/>
        <v>0.0012009009009009</v>
      </c>
      <c r="E19" s="2">
        <f t="shared" si="0"/>
        <v>1.58383333333333</v>
      </c>
    </row>
    <row r="20" spans="1:13">
      <c r="A20" s="1">
        <v>22.5</v>
      </c>
      <c r="B20" s="1">
        <v>1.8732</v>
      </c>
      <c r="C20" s="1">
        <v>100.66</v>
      </c>
      <c r="D20" s="2">
        <f t="shared" si="1"/>
        <v>0.00127567567567568</v>
      </c>
      <c r="E20" s="2">
        <f t="shared" si="0"/>
        <v>1.67766666666667</v>
      </c>
    </row>
    <row r="21" spans="1:13">
      <c r="A21" s="1">
        <v>22.6</v>
      </c>
      <c r="B21" s="1">
        <v>1.8816</v>
      </c>
      <c r="C21" s="1">
        <v>105.5</v>
      </c>
      <c r="D21" s="2">
        <f t="shared" si="1"/>
        <v>0.00135135135135135</v>
      </c>
      <c r="E21" s="2">
        <f t="shared" si="0"/>
        <v>1.75833333333333</v>
      </c>
    </row>
    <row r="22" spans="1:13">
      <c r="A22" s="1">
        <v>22.7</v>
      </c>
      <c r="B22" s="1">
        <v>1.8899</v>
      </c>
      <c r="C22" s="1">
        <v>110.33</v>
      </c>
      <c r="D22" s="2">
        <f t="shared" si="1"/>
        <v>0.00142612612612613</v>
      </c>
      <c r="E22" s="2">
        <f t="shared" si="0"/>
        <v>1.83883333333333</v>
      </c>
    </row>
    <row r="23" spans="1:13">
      <c r="A23" s="1">
        <v>22.8</v>
      </c>
      <c r="B23" s="1">
        <v>1.8983</v>
      </c>
      <c r="C23" s="1">
        <v>115.16</v>
      </c>
      <c r="D23" s="2">
        <f t="shared" si="1"/>
        <v>0.0015018018018018</v>
      </c>
      <c r="E23" s="2">
        <f t="shared" si="0"/>
        <v>1.91933333333333</v>
      </c>
    </row>
    <row r="24" spans="1:13">
      <c r="A24" s="1">
        <v>22.9</v>
      </c>
      <c r="B24" s="1">
        <v>1.9066</v>
      </c>
      <c r="C24" s="1">
        <v>119.99</v>
      </c>
      <c r="D24" s="2">
        <f t="shared" si="1"/>
        <v>0.00157657657657658</v>
      </c>
      <c r="E24" s="2">
        <f t="shared" si="0"/>
        <v>1.99983333333333</v>
      </c>
    </row>
    <row r="25" spans="1:13">
      <c r="A25" s="1">
        <v>23</v>
      </c>
      <c r="B25" s="1">
        <v>1.9149</v>
      </c>
      <c r="C25" s="1">
        <v>125.63</v>
      </c>
      <c r="D25" s="2">
        <f t="shared" si="1"/>
        <v>0.00165135135135135</v>
      </c>
      <c r="E25" s="2">
        <f t="shared" si="0"/>
        <v>2.09383333333333</v>
      </c>
    </row>
    <row r="26" spans="1:13">
      <c r="A26" s="1">
        <v>23.1</v>
      </c>
      <c r="B26" s="1">
        <v>1.9232</v>
      </c>
      <c r="C26" s="1">
        <v>130.46001</v>
      </c>
      <c r="D26" s="2">
        <f t="shared" si="1"/>
        <v>0.00172612612612613</v>
      </c>
      <c r="E26" s="2">
        <f t="shared" si="0"/>
        <v>2.1743335</v>
      </c>
      <c r="J26" s="3" t="s">
        <v>14</v>
      </c>
      <c r="K26" s="3"/>
      <c r="L26" s="4">
        <f>MAX(E:E)</f>
        <v>9.28833333333333</v>
      </c>
      <c r="M26" s="3" t="s">
        <v>15</v>
      </c>
    </row>
    <row r="27" spans="1:13">
      <c r="A27" s="1">
        <v>23.2</v>
      </c>
      <c r="B27" s="1">
        <v>1.9316</v>
      </c>
      <c r="C27" s="1">
        <v>135.28999</v>
      </c>
      <c r="D27" s="2">
        <f t="shared" si="1"/>
        <v>0.0018018018018018</v>
      </c>
      <c r="E27" s="2">
        <f t="shared" si="0"/>
        <v>2.25483316666667</v>
      </c>
      <c r="J27" s="3" t="s">
        <v>16</v>
      </c>
      <c r="K27" s="3"/>
      <c r="L27" s="5">
        <v>0.0109603603603604</v>
      </c>
      <c r="M27" s="3" t="s">
        <v>17</v>
      </c>
    </row>
    <row r="28" spans="1:13">
      <c r="A28" s="1">
        <v>23.3</v>
      </c>
      <c r="B28" s="1">
        <v>1.9399</v>
      </c>
      <c r="C28" s="1">
        <v>140.93</v>
      </c>
      <c r="D28" s="2">
        <f t="shared" si="1"/>
        <v>0.00187657657657658</v>
      </c>
      <c r="E28" s="2">
        <f t="shared" si="0"/>
        <v>2.34883333333333</v>
      </c>
    </row>
    <row r="29" spans="1:13">
      <c r="A29" s="1">
        <v>23.4</v>
      </c>
      <c r="B29" s="1">
        <v>1.9482</v>
      </c>
      <c r="C29" s="1">
        <v>144.96</v>
      </c>
      <c r="D29" s="2">
        <f t="shared" si="1"/>
        <v>0.00195135135135135</v>
      </c>
      <c r="E29" s="2">
        <f t="shared" si="0"/>
        <v>2.416</v>
      </c>
    </row>
    <row r="30" spans="1:13">
      <c r="A30" s="1">
        <v>23.5</v>
      </c>
      <c r="B30" s="1">
        <v>1.9566</v>
      </c>
      <c r="C30" s="1">
        <v>150.6</v>
      </c>
      <c r="D30" s="2">
        <f t="shared" si="1"/>
        <v>0.00202702702702703</v>
      </c>
      <c r="E30" s="2">
        <f t="shared" si="0"/>
        <v>2.51</v>
      </c>
    </row>
    <row r="31" spans="1:13">
      <c r="A31" s="1">
        <v>23.6</v>
      </c>
      <c r="B31" s="1">
        <v>1.9649</v>
      </c>
      <c r="C31" s="1">
        <v>155.43</v>
      </c>
      <c r="D31" s="2">
        <f t="shared" si="1"/>
        <v>0.0021018018018018</v>
      </c>
      <c r="E31" s="2">
        <f t="shared" si="0"/>
        <v>2.5905</v>
      </c>
    </row>
    <row r="32" spans="1:13">
      <c r="A32" s="1">
        <v>23.7</v>
      </c>
      <c r="B32" s="1">
        <v>1.9733</v>
      </c>
      <c r="C32" s="1">
        <v>160.26</v>
      </c>
      <c r="D32" s="2">
        <f t="shared" si="1"/>
        <v>0.00217747747747748</v>
      </c>
      <c r="E32" s="2">
        <f t="shared" si="0"/>
        <v>2.671</v>
      </c>
    </row>
    <row r="33" spans="1:5">
      <c r="A33" s="1">
        <v>23.8</v>
      </c>
      <c r="B33" s="1">
        <v>1.9816</v>
      </c>
      <c r="C33" s="1">
        <v>165.09001</v>
      </c>
      <c r="D33" s="2">
        <f t="shared" si="1"/>
        <v>0.00225225225225225</v>
      </c>
      <c r="E33" s="2">
        <f t="shared" si="0"/>
        <v>2.75150016666667</v>
      </c>
    </row>
    <row r="34" spans="1:5">
      <c r="A34" s="1">
        <v>23.9</v>
      </c>
      <c r="B34" s="1">
        <v>1.9899</v>
      </c>
      <c r="C34" s="1">
        <v>170.72999</v>
      </c>
      <c r="D34" s="2">
        <f t="shared" si="1"/>
        <v>0.00232702702702703</v>
      </c>
      <c r="E34" s="2">
        <f t="shared" si="0"/>
        <v>2.84549983333333</v>
      </c>
    </row>
    <row r="35" spans="1:5">
      <c r="A35" s="1">
        <v>24</v>
      </c>
      <c r="B35" s="1">
        <v>1.9982</v>
      </c>
      <c r="C35" s="1">
        <v>175.56</v>
      </c>
      <c r="D35" s="2">
        <f t="shared" si="1"/>
        <v>0.0024018018018018</v>
      </c>
      <c r="E35" s="2">
        <f t="shared" si="0"/>
        <v>2.926</v>
      </c>
    </row>
    <row r="36" spans="1:5">
      <c r="A36" s="1">
        <v>24.1</v>
      </c>
      <c r="B36" s="1">
        <v>2.0066</v>
      </c>
      <c r="C36" s="1">
        <v>179.59</v>
      </c>
      <c r="D36" s="2">
        <f t="shared" si="1"/>
        <v>0.00247747747747748</v>
      </c>
      <c r="E36" s="2">
        <f t="shared" si="0"/>
        <v>2.99316666666667</v>
      </c>
    </row>
    <row r="37" spans="1:5">
      <c r="A37" s="1">
        <v>24.2</v>
      </c>
      <c r="B37" s="1">
        <v>2.0149</v>
      </c>
      <c r="C37" s="1">
        <v>184.42</v>
      </c>
      <c r="D37" s="2">
        <f t="shared" si="1"/>
        <v>0.00255225225225225</v>
      </c>
      <c r="E37" s="2">
        <f t="shared" si="0"/>
        <v>3.07366666666667</v>
      </c>
    </row>
    <row r="38" spans="1:5">
      <c r="A38" s="1">
        <v>24.3</v>
      </c>
      <c r="B38" s="1">
        <v>2.0232</v>
      </c>
      <c r="C38" s="1">
        <v>190.06</v>
      </c>
      <c r="D38" s="2">
        <f t="shared" si="1"/>
        <v>0.00262702702702703</v>
      </c>
      <c r="E38" s="2">
        <f t="shared" si="0"/>
        <v>3.16766666666667</v>
      </c>
    </row>
    <row r="39" spans="1:5">
      <c r="A39" s="1">
        <v>24.4</v>
      </c>
      <c r="B39" s="1">
        <v>2.0316</v>
      </c>
      <c r="C39" s="1">
        <v>194.89001</v>
      </c>
      <c r="D39" s="2">
        <f t="shared" si="1"/>
        <v>0.0027027027027027</v>
      </c>
      <c r="E39" s="2">
        <f t="shared" si="0"/>
        <v>3.24816683333333</v>
      </c>
    </row>
    <row r="40" spans="1:5">
      <c r="A40" s="1">
        <v>24.5</v>
      </c>
      <c r="B40" s="1">
        <v>2.0399</v>
      </c>
      <c r="C40" s="1">
        <v>199.71999</v>
      </c>
      <c r="D40" s="2">
        <f t="shared" si="1"/>
        <v>0.00277747747747748</v>
      </c>
      <c r="E40" s="2">
        <f t="shared" si="0"/>
        <v>3.3286665</v>
      </c>
    </row>
    <row r="41" spans="1:5">
      <c r="A41" s="1">
        <v>24.6</v>
      </c>
      <c r="B41" s="1">
        <v>2.0483</v>
      </c>
      <c r="C41" s="1">
        <v>203.75</v>
      </c>
      <c r="D41" s="2">
        <f t="shared" si="1"/>
        <v>0.00285315315315315</v>
      </c>
      <c r="E41" s="2">
        <f t="shared" si="0"/>
        <v>3.39583333333333</v>
      </c>
    </row>
    <row r="42" spans="1:5">
      <c r="A42" s="1">
        <v>24.7</v>
      </c>
      <c r="B42" s="1">
        <v>2.0566</v>
      </c>
      <c r="C42" s="1">
        <v>208.58</v>
      </c>
      <c r="D42" s="2">
        <f t="shared" si="1"/>
        <v>0.00292792792792793</v>
      </c>
      <c r="E42" s="2">
        <f t="shared" si="0"/>
        <v>3.47633333333333</v>
      </c>
    </row>
    <row r="43" spans="1:5">
      <c r="A43" s="1">
        <v>24.8</v>
      </c>
      <c r="B43" s="1">
        <v>2.0649</v>
      </c>
      <c r="C43" s="1">
        <v>213.41</v>
      </c>
      <c r="D43" s="2">
        <f t="shared" si="1"/>
        <v>0.0030027027027027</v>
      </c>
      <c r="E43" s="2">
        <f t="shared" si="0"/>
        <v>3.55683333333333</v>
      </c>
    </row>
    <row r="44" spans="1:5">
      <c r="A44" s="1">
        <v>24.9</v>
      </c>
      <c r="B44" s="1">
        <v>2.0732</v>
      </c>
      <c r="C44" s="1">
        <v>218.25001</v>
      </c>
      <c r="D44" s="2">
        <f t="shared" si="1"/>
        <v>0.00307747747747748</v>
      </c>
      <c r="E44" s="2">
        <f t="shared" si="0"/>
        <v>3.63750016666667</v>
      </c>
    </row>
    <row r="45" spans="1:5">
      <c r="A45" s="1">
        <v>25</v>
      </c>
      <c r="B45" s="1">
        <v>2.0816</v>
      </c>
      <c r="C45" s="1">
        <v>223.07999</v>
      </c>
      <c r="D45" s="2">
        <f t="shared" si="1"/>
        <v>0.00315315315315315</v>
      </c>
      <c r="E45" s="2">
        <f t="shared" si="0"/>
        <v>3.71799983333333</v>
      </c>
    </row>
    <row r="46" spans="1:5">
      <c r="A46" s="1">
        <v>25.1</v>
      </c>
      <c r="B46" s="1">
        <v>2.0899</v>
      </c>
      <c r="C46" s="1">
        <v>227.91</v>
      </c>
      <c r="D46" s="2">
        <f t="shared" si="1"/>
        <v>0.00322792792792793</v>
      </c>
      <c r="E46" s="2">
        <f t="shared" si="0"/>
        <v>3.7985</v>
      </c>
    </row>
    <row r="47" spans="1:5">
      <c r="A47" s="1">
        <v>25.2</v>
      </c>
      <c r="B47" s="1">
        <v>2.0982</v>
      </c>
      <c r="C47" s="1">
        <v>232.74</v>
      </c>
      <c r="D47" s="2">
        <f t="shared" si="1"/>
        <v>0.0033027027027027</v>
      </c>
      <c r="E47" s="2">
        <f t="shared" si="0"/>
        <v>3.879</v>
      </c>
    </row>
    <row r="48" spans="1:5">
      <c r="A48" s="1">
        <v>25.3</v>
      </c>
      <c r="B48" s="1">
        <v>2.1066</v>
      </c>
      <c r="C48" s="1">
        <v>237.57001</v>
      </c>
      <c r="D48" s="2">
        <f t="shared" si="1"/>
        <v>0.00337837837837838</v>
      </c>
      <c r="E48" s="2">
        <f t="shared" si="0"/>
        <v>3.95950016666667</v>
      </c>
    </row>
    <row r="49" spans="1:5">
      <c r="A49" s="1">
        <v>25.4</v>
      </c>
      <c r="B49" s="1">
        <v>2.1149</v>
      </c>
      <c r="C49" s="1">
        <v>242.41</v>
      </c>
      <c r="D49" s="2">
        <f t="shared" si="1"/>
        <v>0.00345315315315315</v>
      </c>
      <c r="E49" s="2">
        <f t="shared" si="0"/>
        <v>4.04016666666667</v>
      </c>
    </row>
    <row r="50" spans="1:5">
      <c r="A50" s="1">
        <v>25.5</v>
      </c>
      <c r="B50" s="1">
        <v>2.1233</v>
      </c>
      <c r="C50" s="1">
        <v>247.23999</v>
      </c>
      <c r="D50" s="2">
        <f t="shared" si="1"/>
        <v>0.00352882882882883</v>
      </c>
      <c r="E50" s="2">
        <f t="shared" si="0"/>
        <v>4.1206665</v>
      </c>
    </row>
    <row r="51" spans="1:5">
      <c r="A51" s="1">
        <v>25.6</v>
      </c>
      <c r="B51" s="1">
        <v>2.1316</v>
      </c>
      <c r="C51" s="1">
        <v>252.07001</v>
      </c>
      <c r="D51" s="2">
        <f t="shared" si="1"/>
        <v>0.0036036036036036</v>
      </c>
      <c r="E51" s="2">
        <f t="shared" ref="E51:E114" si="2">C51/$L$4</f>
        <v>4.20116683333333</v>
      </c>
    </row>
    <row r="52" spans="1:5">
      <c r="A52" s="1">
        <v>25.7</v>
      </c>
      <c r="B52" s="1">
        <v>2.1399</v>
      </c>
      <c r="C52" s="1">
        <v>256.1</v>
      </c>
      <c r="D52" s="2">
        <f t="shared" si="1"/>
        <v>0.00367837837837838</v>
      </c>
      <c r="E52" s="2">
        <f t="shared" si="2"/>
        <v>4.26833333333333</v>
      </c>
    </row>
    <row r="53" spans="1:5">
      <c r="A53" s="1">
        <v>25.8</v>
      </c>
      <c r="B53" s="1">
        <v>2.1482</v>
      </c>
      <c r="C53" s="1">
        <v>260.11999</v>
      </c>
      <c r="D53" s="2">
        <f t="shared" si="1"/>
        <v>0.00375315315315316</v>
      </c>
      <c r="E53" s="2">
        <f t="shared" si="2"/>
        <v>4.33533316666667</v>
      </c>
    </row>
    <row r="54" spans="1:5">
      <c r="A54" s="1">
        <v>25.9</v>
      </c>
      <c r="B54" s="1">
        <v>2.1566</v>
      </c>
      <c r="C54" s="1">
        <v>264.96001</v>
      </c>
      <c r="D54" s="2">
        <f t="shared" si="1"/>
        <v>0.00382882882882883</v>
      </c>
      <c r="E54" s="2">
        <f t="shared" si="2"/>
        <v>4.41600016666667</v>
      </c>
    </row>
    <row r="55" spans="1:5">
      <c r="A55" s="1">
        <v>26</v>
      </c>
      <c r="B55" s="1">
        <v>2.1649</v>
      </c>
      <c r="C55" s="1">
        <v>269.78999</v>
      </c>
      <c r="D55" s="2">
        <f t="shared" si="1"/>
        <v>0.0039036036036036</v>
      </c>
      <c r="E55" s="2">
        <f t="shared" si="2"/>
        <v>4.49649983333333</v>
      </c>
    </row>
    <row r="56" spans="1:5">
      <c r="A56" s="1">
        <v>26.1</v>
      </c>
      <c r="B56" s="1">
        <v>2.1732</v>
      </c>
      <c r="C56" s="1">
        <v>274.62001</v>
      </c>
      <c r="D56" s="2">
        <f t="shared" si="1"/>
        <v>0.00397837837837838</v>
      </c>
      <c r="E56" s="2">
        <f t="shared" si="2"/>
        <v>4.57700016666667</v>
      </c>
    </row>
    <row r="57" spans="1:5">
      <c r="A57" s="1">
        <v>26.2</v>
      </c>
      <c r="B57" s="1">
        <v>2.1816</v>
      </c>
      <c r="C57" s="1">
        <v>278.65</v>
      </c>
      <c r="D57" s="2">
        <f t="shared" si="1"/>
        <v>0.00405405405405405</v>
      </c>
      <c r="E57" s="2">
        <f t="shared" si="2"/>
        <v>4.64416666666667</v>
      </c>
    </row>
    <row r="58" spans="1:5">
      <c r="A58" s="1">
        <v>26.3</v>
      </c>
      <c r="B58" s="1">
        <v>2.1899</v>
      </c>
      <c r="C58" s="1">
        <v>283.47999</v>
      </c>
      <c r="D58" s="2">
        <f t="shared" si="1"/>
        <v>0.00412882882882883</v>
      </c>
      <c r="E58" s="2">
        <f t="shared" si="2"/>
        <v>4.7246665</v>
      </c>
    </row>
    <row r="59" spans="1:5">
      <c r="A59" s="1">
        <v>26.4</v>
      </c>
      <c r="B59" s="1">
        <v>2.1982</v>
      </c>
      <c r="C59" s="1">
        <v>288.31</v>
      </c>
      <c r="D59" s="2">
        <f t="shared" si="1"/>
        <v>0.0042036036036036</v>
      </c>
      <c r="E59" s="2">
        <f t="shared" si="2"/>
        <v>4.80516666666667</v>
      </c>
    </row>
    <row r="60" spans="1:5">
      <c r="A60" s="1">
        <v>26.5</v>
      </c>
      <c r="B60" s="1">
        <v>2.2066</v>
      </c>
      <c r="C60" s="1">
        <v>292.34</v>
      </c>
      <c r="D60" s="2">
        <f t="shared" si="1"/>
        <v>0.00427927927927928</v>
      </c>
      <c r="E60" s="2">
        <f t="shared" si="2"/>
        <v>4.87233333333333</v>
      </c>
    </row>
    <row r="61" spans="1:5">
      <c r="A61" s="1">
        <v>26.6</v>
      </c>
      <c r="B61" s="1">
        <v>2.2149</v>
      </c>
      <c r="C61" s="1">
        <v>297.17001</v>
      </c>
      <c r="D61" s="2">
        <f t="shared" si="1"/>
        <v>0.00435405405405406</v>
      </c>
      <c r="E61" s="2">
        <f t="shared" si="2"/>
        <v>4.9528335</v>
      </c>
    </row>
    <row r="62" spans="1:5">
      <c r="A62" s="1">
        <v>26.7</v>
      </c>
      <c r="B62" s="1">
        <v>2.2232</v>
      </c>
      <c r="C62" s="1">
        <v>301.2</v>
      </c>
      <c r="D62" s="2">
        <f t="shared" si="1"/>
        <v>0.00442882882882883</v>
      </c>
      <c r="E62" s="2">
        <f t="shared" si="2"/>
        <v>5.02</v>
      </c>
    </row>
    <row r="63" spans="1:5">
      <c r="A63" s="1">
        <v>26.8</v>
      </c>
      <c r="B63" s="1">
        <v>2.2316</v>
      </c>
      <c r="C63" s="1">
        <v>306.02999</v>
      </c>
      <c r="D63" s="2">
        <f t="shared" si="1"/>
        <v>0.0045045045045045</v>
      </c>
      <c r="E63" s="2">
        <f t="shared" si="2"/>
        <v>5.10049983333333</v>
      </c>
    </row>
    <row r="64" spans="1:5">
      <c r="A64" s="1">
        <v>26.9</v>
      </c>
      <c r="B64" s="1">
        <v>2.2399</v>
      </c>
      <c r="C64" s="1">
        <v>310.06001</v>
      </c>
      <c r="D64" s="2">
        <f t="shared" si="1"/>
        <v>0.00457927927927928</v>
      </c>
      <c r="E64" s="2">
        <f t="shared" si="2"/>
        <v>5.16766683333333</v>
      </c>
    </row>
    <row r="65" spans="1:5">
      <c r="A65" s="1">
        <v>27</v>
      </c>
      <c r="B65" s="1">
        <v>2.2482</v>
      </c>
      <c r="C65" s="1">
        <v>314.08</v>
      </c>
      <c r="D65" s="2">
        <f t="shared" si="1"/>
        <v>0.00465405405405406</v>
      </c>
      <c r="E65" s="2">
        <f t="shared" si="2"/>
        <v>5.23466666666667</v>
      </c>
    </row>
    <row r="66" spans="1:5">
      <c r="A66" s="1">
        <v>27.1</v>
      </c>
      <c r="B66" s="1">
        <v>2.2566</v>
      </c>
      <c r="C66" s="1">
        <v>318.91001</v>
      </c>
      <c r="D66" s="2">
        <f t="shared" si="1"/>
        <v>0.00472972972972973</v>
      </c>
      <c r="E66" s="2">
        <f t="shared" si="2"/>
        <v>5.31516683333333</v>
      </c>
    </row>
    <row r="67" spans="1:5">
      <c r="A67" s="1">
        <v>27.2</v>
      </c>
      <c r="B67" s="1">
        <v>2.2649</v>
      </c>
      <c r="C67" s="1">
        <v>322.94</v>
      </c>
      <c r="D67" s="2">
        <f t="shared" si="1"/>
        <v>0.00480450450450451</v>
      </c>
      <c r="E67" s="2">
        <f t="shared" si="2"/>
        <v>5.38233333333333</v>
      </c>
    </row>
    <row r="68" spans="1:5">
      <c r="A68" s="1">
        <v>27.3</v>
      </c>
      <c r="B68" s="1">
        <v>2.2732</v>
      </c>
      <c r="C68" s="1">
        <v>327.76999</v>
      </c>
      <c r="D68" s="2">
        <f t="shared" ref="D68:D131" si="3">((B68/$L$3))-0.0156</f>
        <v>0.00487927927927928</v>
      </c>
      <c r="E68" s="2">
        <f t="shared" si="2"/>
        <v>5.46283316666667</v>
      </c>
    </row>
    <row r="69" spans="1:5">
      <c r="A69" s="1">
        <v>27.4</v>
      </c>
      <c r="B69" s="1">
        <v>2.2815</v>
      </c>
      <c r="C69" s="1">
        <v>331.80001</v>
      </c>
      <c r="D69" s="2">
        <f t="shared" si="3"/>
        <v>0.00495405405405405</v>
      </c>
      <c r="E69" s="2">
        <f t="shared" si="2"/>
        <v>5.53000016666667</v>
      </c>
    </row>
    <row r="70" spans="1:5">
      <c r="A70" s="1">
        <v>27.5</v>
      </c>
      <c r="B70" s="1">
        <v>2.2899</v>
      </c>
      <c r="C70" s="1">
        <v>336.63</v>
      </c>
      <c r="D70" s="2">
        <f t="shared" si="3"/>
        <v>0.00502972972972973</v>
      </c>
      <c r="E70" s="2">
        <f t="shared" si="2"/>
        <v>5.6105</v>
      </c>
    </row>
    <row r="71" spans="1:5">
      <c r="A71" s="1">
        <v>27.6</v>
      </c>
      <c r="B71" s="1">
        <v>2.2982</v>
      </c>
      <c r="C71" s="1">
        <v>340.65999</v>
      </c>
      <c r="D71" s="2">
        <f t="shared" si="3"/>
        <v>0.00510450450450451</v>
      </c>
      <c r="E71" s="2">
        <f t="shared" si="2"/>
        <v>5.6776665</v>
      </c>
    </row>
    <row r="72" spans="1:5">
      <c r="A72" s="1">
        <v>27.7</v>
      </c>
      <c r="B72" s="1">
        <v>2.3066</v>
      </c>
      <c r="C72" s="1">
        <v>344.69001</v>
      </c>
      <c r="D72" s="2">
        <f t="shared" si="3"/>
        <v>0.00518018018018018</v>
      </c>
      <c r="E72" s="2">
        <f t="shared" si="2"/>
        <v>5.7448335</v>
      </c>
    </row>
    <row r="73" spans="1:5">
      <c r="A73" s="1">
        <v>27.8</v>
      </c>
      <c r="B73" s="1">
        <v>2.3149</v>
      </c>
      <c r="C73" s="1">
        <v>348.71</v>
      </c>
      <c r="D73" s="2">
        <f t="shared" si="3"/>
        <v>0.00525495495495496</v>
      </c>
      <c r="E73" s="2">
        <f t="shared" si="2"/>
        <v>5.81183333333333</v>
      </c>
    </row>
    <row r="74" spans="1:5">
      <c r="A74" s="1">
        <v>27.9</v>
      </c>
      <c r="B74" s="1">
        <v>2.3232</v>
      </c>
      <c r="C74" s="1">
        <v>353.53999</v>
      </c>
      <c r="D74" s="2">
        <f t="shared" si="3"/>
        <v>0.00532972972972973</v>
      </c>
      <c r="E74" s="2">
        <f t="shared" si="2"/>
        <v>5.89233316666667</v>
      </c>
    </row>
    <row r="75" spans="1:5">
      <c r="A75" s="1">
        <v>28</v>
      </c>
      <c r="B75" s="1">
        <v>2.3316</v>
      </c>
      <c r="C75" s="1">
        <v>356.77001</v>
      </c>
      <c r="D75" s="2">
        <f t="shared" si="3"/>
        <v>0.00540540540540541</v>
      </c>
      <c r="E75" s="2">
        <f t="shared" si="2"/>
        <v>5.94616683333333</v>
      </c>
    </row>
    <row r="76" spans="1:5">
      <c r="A76" s="1">
        <v>28.1</v>
      </c>
      <c r="B76" s="1">
        <v>2.3399</v>
      </c>
      <c r="C76" s="1">
        <v>361.6</v>
      </c>
      <c r="D76" s="2">
        <f t="shared" si="3"/>
        <v>0.00548018018018018</v>
      </c>
      <c r="E76" s="2">
        <f t="shared" si="2"/>
        <v>6.02666666666667</v>
      </c>
    </row>
    <row r="77" spans="1:5">
      <c r="A77" s="1">
        <v>28.2</v>
      </c>
      <c r="B77" s="1">
        <v>2.3482</v>
      </c>
      <c r="C77" s="1">
        <v>365.62001</v>
      </c>
      <c r="D77" s="2">
        <f t="shared" si="3"/>
        <v>0.00555495495495495</v>
      </c>
      <c r="E77" s="2">
        <f t="shared" si="2"/>
        <v>6.09366683333333</v>
      </c>
    </row>
    <row r="78" spans="1:5">
      <c r="A78" s="1">
        <v>28.3</v>
      </c>
      <c r="B78" s="1">
        <v>2.3565</v>
      </c>
      <c r="C78" s="1">
        <v>369.65</v>
      </c>
      <c r="D78" s="2">
        <f t="shared" si="3"/>
        <v>0.00562972972972973</v>
      </c>
      <c r="E78" s="2">
        <f t="shared" si="2"/>
        <v>6.16083333333333</v>
      </c>
    </row>
    <row r="79" spans="1:5">
      <c r="A79" s="1">
        <v>28.4</v>
      </c>
      <c r="B79" s="1">
        <v>2.3649</v>
      </c>
      <c r="C79" s="1">
        <v>373.68</v>
      </c>
      <c r="D79" s="2">
        <f t="shared" si="3"/>
        <v>0.00570540540540541</v>
      </c>
      <c r="E79" s="2">
        <f t="shared" si="2"/>
        <v>6.228</v>
      </c>
    </row>
    <row r="80" spans="1:5">
      <c r="A80" s="1">
        <v>28.5</v>
      </c>
      <c r="B80" s="1">
        <v>2.3732</v>
      </c>
      <c r="C80" s="1">
        <v>377.70999</v>
      </c>
      <c r="D80" s="2">
        <f t="shared" si="3"/>
        <v>0.00578018018018018</v>
      </c>
      <c r="E80" s="2">
        <f t="shared" si="2"/>
        <v>6.2951665</v>
      </c>
    </row>
    <row r="81" spans="1:5">
      <c r="A81" s="1">
        <v>28.6</v>
      </c>
      <c r="B81" s="1">
        <v>2.3816</v>
      </c>
      <c r="C81" s="1">
        <v>381.73</v>
      </c>
      <c r="D81" s="2">
        <f t="shared" si="3"/>
        <v>0.00585585585585586</v>
      </c>
      <c r="E81" s="2">
        <f t="shared" si="2"/>
        <v>6.36216666666667</v>
      </c>
    </row>
    <row r="82" spans="1:5">
      <c r="A82" s="1">
        <v>28.7</v>
      </c>
      <c r="B82" s="1">
        <v>2.3899</v>
      </c>
      <c r="C82" s="1">
        <v>385.75999</v>
      </c>
      <c r="D82" s="2">
        <f t="shared" si="3"/>
        <v>0.00593063063063063</v>
      </c>
      <c r="E82" s="2">
        <f t="shared" si="2"/>
        <v>6.42933316666667</v>
      </c>
    </row>
    <row r="83" spans="1:5">
      <c r="A83" s="1">
        <v>28.8</v>
      </c>
      <c r="B83" s="1">
        <v>2.3982</v>
      </c>
      <c r="C83" s="1">
        <v>389.79001</v>
      </c>
      <c r="D83" s="2">
        <f t="shared" si="3"/>
        <v>0.00600540540540541</v>
      </c>
      <c r="E83" s="2">
        <f t="shared" si="2"/>
        <v>6.49650016666667</v>
      </c>
    </row>
    <row r="84" spans="1:5">
      <c r="A84" s="1">
        <v>28.9</v>
      </c>
      <c r="B84" s="1">
        <v>2.4066</v>
      </c>
      <c r="C84" s="1">
        <v>393.81</v>
      </c>
      <c r="D84" s="2">
        <f t="shared" si="3"/>
        <v>0.00608108108108108</v>
      </c>
      <c r="E84" s="2">
        <f t="shared" si="2"/>
        <v>6.5635</v>
      </c>
    </row>
    <row r="85" spans="1:5">
      <c r="A85" s="1">
        <v>29</v>
      </c>
      <c r="B85" s="1">
        <v>2.4149</v>
      </c>
      <c r="C85" s="1">
        <v>397.83999</v>
      </c>
      <c r="D85" s="2">
        <f t="shared" si="3"/>
        <v>0.00615585585585586</v>
      </c>
      <c r="E85" s="2">
        <f t="shared" si="2"/>
        <v>6.6306665</v>
      </c>
    </row>
    <row r="86" spans="1:5">
      <c r="A86" s="1">
        <v>29.1</v>
      </c>
      <c r="B86" s="1">
        <v>2.4232</v>
      </c>
      <c r="C86" s="1">
        <v>401.87001</v>
      </c>
      <c r="D86" s="2">
        <f t="shared" si="3"/>
        <v>0.00623063063063063</v>
      </c>
      <c r="E86" s="2">
        <f t="shared" si="2"/>
        <v>6.6978335</v>
      </c>
    </row>
    <row r="87" spans="1:5">
      <c r="A87" s="1">
        <v>29.2</v>
      </c>
      <c r="B87" s="1">
        <v>2.4315</v>
      </c>
      <c r="C87" s="1">
        <v>405.89</v>
      </c>
      <c r="D87" s="2">
        <f t="shared" si="3"/>
        <v>0.00630540540540541</v>
      </c>
      <c r="E87" s="2">
        <f t="shared" si="2"/>
        <v>6.76483333333333</v>
      </c>
    </row>
    <row r="88" spans="1:5">
      <c r="A88" s="1">
        <v>29.3</v>
      </c>
      <c r="B88" s="1">
        <v>2.4399</v>
      </c>
      <c r="C88" s="1">
        <v>409.10999</v>
      </c>
      <c r="D88" s="2">
        <f t="shared" si="3"/>
        <v>0.00638108108108108</v>
      </c>
      <c r="E88" s="2">
        <f t="shared" si="2"/>
        <v>6.81849983333333</v>
      </c>
    </row>
    <row r="89" spans="1:5">
      <c r="A89" s="1">
        <v>29.4</v>
      </c>
      <c r="B89" s="1">
        <v>2.4482</v>
      </c>
      <c r="C89" s="1">
        <v>413.14001</v>
      </c>
      <c r="D89" s="2">
        <f t="shared" si="3"/>
        <v>0.00645585585585585</v>
      </c>
      <c r="E89" s="2">
        <f t="shared" si="2"/>
        <v>6.88566683333333</v>
      </c>
    </row>
    <row r="90" spans="1:5">
      <c r="A90" s="1">
        <v>29.5</v>
      </c>
      <c r="B90" s="1">
        <v>2.4566</v>
      </c>
      <c r="C90" s="1">
        <v>416.36</v>
      </c>
      <c r="D90" s="2">
        <f t="shared" si="3"/>
        <v>0.00653153153153153</v>
      </c>
      <c r="E90" s="2">
        <f t="shared" si="2"/>
        <v>6.93933333333333</v>
      </c>
    </row>
    <row r="91" spans="1:5">
      <c r="A91" s="1">
        <v>29.6</v>
      </c>
      <c r="B91" s="1">
        <v>2.4649</v>
      </c>
      <c r="C91" s="1">
        <v>420.38999</v>
      </c>
      <c r="D91" s="2">
        <f t="shared" si="3"/>
        <v>0.00660630630630631</v>
      </c>
      <c r="E91" s="2">
        <f t="shared" si="2"/>
        <v>7.00649983333333</v>
      </c>
    </row>
    <row r="92" spans="1:5">
      <c r="A92" s="1">
        <v>29.7</v>
      </c>
      <c r="B92" s="1">
        <v>2.4732</v>
      </c>
      <c r="C92" s="1">
        <v>424.41999</v>
      </c>
      <c r="D92" s="2">
        <f t="shared" si="3"/>
        <v>0.00668108108108108</v>
      </c>
      <c r="E92" s="2">
        <f t="shared" si="2"/>
        <v>7.0736665</v>
      </c>
    </row>
    <row r="93" spans="1:5">
      <c r="A93" s="1">
        <v>29.8</v>
      </c>
      <c r="B93" s="1">
        <v>2.4816</v>
      </c>
      <c r="C93" s="1">
        <v>427.64001</v>
      </c>
      <c r="D93" s="2">
        <f t="shared" si="3"/>
        <v>0.00675675675675676</v>
      </c>
      <c r="E93" s="2">
        <f t="shared" si="2"/>
        <v>7.1273335</v>
      </c>
    </row>
    <row r="94" spans="1:5">
      <c r="A94" s="1">
        <v>29.9</v>
      </c>
      <c r="B94" s="1">
        <v>2.4899</v>
      </c>
      <c r="C94" s="1">
        <v>431.65999</v>
      </c>
      <c r="D94" s="2">
        <f t="shared" si="3"/>
        <v>0.00683153153153153</v>
      </c>
      <c r="E94" s="2">
        <f t="shared" si="2"/>
        <v>7.19433316666667</v>
      </c>
    </row>
    <row r="95" spans="1:5">
      <c r="A95" s="1">
        <v>30</v>
      </c>
      <c r="B95" s="1">
        <v>2.4982</v>
      </c>
      <c r="C95" s="1">
        <v>434.88999</v>
      </c>
      <c r="D95" s="2">
        <f t="shared" si="3"/>
        <v>0.00690630630630631</v>
      </c>
      <c r="E95" s="2">
        <f t="shared" si="2"/>
        <v>7.2481665</v>
      </c>
    </row>
    <row r="96" spans="1:5">
      <c r="A96" s="1">
        <v>30.1</v>
      </c>
      <c r="B96" s="1">
        <v>2.5065</v>
      </c>
      <c r="C96" s="1">
        <v>438.91001</v>
      </c>
      <c r="D96" s="2">
        <f t="shared" si="3"/>
        <v>0.00698108108108108</v>
      </c>
      <c r="E96" s="2">
        <f t="shared" si="2"/>
        <v>7.31516683333333</v>
      </c>
    </row>
    <row r="97" spans="1:5">
      <c r="A97" s="1">
        <v>30.2</v>
      </c>
      <c r="B97" s="1">
        <v>2.5149</v>
      </c>
      <c r="C97" s="1">
        <v>442.13</v>
      </c>
      <c r="D97" s="2">
        <f t="shared" si="3"/>
        <v>0.00705675675675676</v>
      </c>
      <c r="E97" s="2">
        <f t="shared" si="2"/>
        <v>7.36883333333333</v>
      </c>
    </row>
    <row r="98" spans="1:5">
      <c r="A98" s="1">
        <v>30.3</v>
      </c>
      <c r="B98" s="1">
        <v>2.5232</v>
      </c>
      <c r="C98" s="1">
        <v>446.15999</v>
      </c>
      <c r="D98" s="2">
        <f t="shared" si="3"/>
        <v>0.00713153153153153</v>
      </c>
      <c r="E98" s="2">
        <f t="shared" si="2"/>
        <v>7.43599983333333</v>
      </c>
    </row>
    <row r="99" spans="1:5">
      <c r="A99" s="1">
        <v>30.4</v>
      </c>
      <c r="B99" s="1">
        <v>2.5316</v>
      </c>
      <c r="C99" s="1">
        <v>449.38001</v>
      </c>
      <c r="D99" s="2">
        <f t="shared" si="3"/>
        <v>0.00720720720720721</v>
      </c>
      <c r="E99" s="2">
        <f t="shared" si="2"/>
        <v>7.48966683333333</v>
      </c>
    </row>
    <row r="100" spans="1:5">
      <c r="A100" s="1">
        <v>30.5</v>
      </c>
      <c r="B100" s="1">
        <v>2.5399</v>
      </c>
      <c r="C100" s="1">
        <v>452.6</v>
      </c>
      <c r="D100" s="2">
        <f t="shared" si="3"/>
        <v>0.00728198198198198</v>
      </c>
      <c r="E100" s="2">
        <f t="shared" si="2"/>
        <v>7.54333333333333</v>
      </c>
    </row>
    <row r="101" spans="1:5">
      <c r="A101" s="1">
        <v>30.6</v>
      </c>
      <c r="B101" s="1">
        <v>2.5482</v>
      </c>
      <c r="C101" s="1">
        <v>456.62999</v>
      </c>
      <c r="D101" s="2">
        <f t="shared" si="3"/>
        <v>0.00735675675675676</v>
      </c>
      <c r="E101" s="2">
        <f t="shared" si="2"/>
        <v>7.61049983333333</v>
      </c>
    </row>
    <row r="102" spans="1:5">
      <c r="A102" s="1">
        <v>30.7</v>
      </c>
      <c r="B102" s="1">
        <v>2.5566</v>
      </c>
      <c r="C102" s="1">
        <v>459.85001</v>
      </c>
      <c r="D102" s="2">
        <f t="shared" si="3"/>
        <v>0.00743243243243243</v>
      </c>
      <c r="E102" s="2">
        <f t="shared" si="2"/>
        <v>7.66416683333333</v>
      </c>
    </row>
    <row r="103" spans="1:5">
      <c r="A103" s="1">
        <v>30.8</v>
      </c>
      <c r="B103" s="1">
        <v>2.5649</v>
      </c>
      <c r="C103" s="1">
        <v>463.07</v>
      </c>
      <c r="D103" s="2">
        <f t="shared" si="3"/>
        <v>0.00750720720720721</v>
      </c>
      <c r="E103" s="2">
        <f t="shared" si="2"/>
        <v>7.71783333333333</v>
      </c>
    </row>
    <row r="104" spans="1:5">
      <c r="A104" s="1">
        <v>30.9</v>
      </c>
      <c r="B104" s="1">
        <v>2.5732</v>
      </c>
      <c r="C104" s="1">
        <v>467.09999</v>
      </c>
      <c r="D104" s="2">
        <f t="shared" si="3"/>
        <v>0.00758198198198198</v>
      </c>
      <c r="E104" s="2">
        <f t="shared" si="2"/>
        <v>7.78499983333333</v>
      </c>
    </row>
    <row r="105" spans="1:5">
      <c r="A105" s="1">
        <v>31</v>
      </c>
      <c r="B105" s="1">
        <v>2.5815</v>
      </c>
      <c r="C105" s="1">
        <v>470.31999</v>
      </c>
      <c r="D105" s="2">
        <f t="shared" si="3"/>
        <v>0.00765675675675676</v>
      </c>
      <c r="E105" s="2">
        <f t="shared" si="2"/>
        <v>7.8386665</v>
      </c>
    </row>
    <row r="106" spans="1:5">
      <c r="A106" s="1">
        <v>31.1</v>
      </c>
      <c r="B106" s="1">
        <v>2.5899</v>
      </c>
      <c r="C106" s="1">
        <v>473.53998</v>
      </c>
      <c r="D106" s="2">
        <f t="shared" si="3"/>
        <v>0.00773243243243243</v>
      </c>
      <c r="E106" s="2">
        <f t="shared" si="2"/>
        <v>7.892333</v>
      </c>
    </row>
    <row r="107" spans="1:5">
      <c r="A107" s="1">
        <v>31.2</v>
      </c>
      <c r="B107" s="1">
        <v>2.5982</v>
      </c>
      <c r="C107" s="1">
        <v>476.76003</v>
      </c>
      <c r="D107" s="2">
        <f t="shared" si="3"/>
        <v>0.00780720720720721</v>
      </c>
      <c r="E107" s="2">
        <f t="shared" si="2"/>
        <v>7.9460005</v>
      </c>
    </row>
    <row r="108" spans="1:5">
      <c r="A108" s="1">
        <v>31.3</v>
      </c>
      <c r="B108" s="1">
        <v>2.6066</v>
      </c>
      <c r="C108" s="1">
        <v>479.98002</v>
      </c>
      <c r="D108" s="2">
        <f t="shared" si="3"/>
        <v>0.00788288288288288</v>
      </c>
      <c r="E108" s="2">
        <f t="shared" si="2"/>
        <v>7.999667</v>
      </c>
    </row>
    <row r="109" spans="1:5">
      <c r="A109" s="1">
        <v>31.4</v>
      </c>
      <c r="B109" s="1">
        <v>2.6149</v>
      </c>
      <c r="C109" s="1">
        <v>483.21001</v>
      </c>
      <c r="D109" s="2">
        <f t="shared" si="3"/>
        <v>0.00795765765765766</v>
      </c>
      <c r="E109" s="2">
        <f t="shared" si="2"/>
        <v>8.05350016666667</v>
      </c>
    </row>
    <row r="110" spans="1:5">
      <c r="A110" s="1">
        <v>31.5</v>
      </c>
      <c r="B110" s="1">
        <v>2.6232</v>
      </c>
      <c r="C110" s="1">
        <v>486.43</v>
      </c>
      <c r="D110" s="2">
        <f t="shared" si="3"/>
        <v>0.00803243243243244</v>
      </c>
      <c r="E110" s="2">
        <f t="shared" si="2"/>
        <v>8.10716666666667</v>
      </c>
    </row>
    <row r="111" spans="1:5">
      <c r="A111" s="1">
        <v>31.6</v>
      </c>
      <c r="B111" s="1">
        <v>2.6316</v>
      </c>
      <c r="C111" s="1">
        <v>489.65</v>
      </c>
      <c r="D111" s="2">
        <f t="shared" si="3"/>
        <v>0.00810810810810811</v>
      </c>
      <c r="E111" s="2">
        <f t="shared" si="2"/>
        <v>8.16083333333333</v>
      </c>
    </row>
    <row r="112" spans="1:5">
      <c r="A112" s="1">
        <v>31.7</v>
      </c>
      <c r="B112" s="1">
        <v>2.6399</v>
      </c>
      <c r="C112" s="1">
        <v>492.07002</v>
      </c>
      <c r="D112" s="2">
        <f t="shared" si="3"/>
        <v>0.00818288288288288</v>
      </c>
      <c r="E112" s="2">
        <f t="shared" si="2"/>
        <v>8.201167</v>
      </c>
    </row>
    <row r="113" spans="1:5">
      <c r="A113" s="1">
        <v>31.8</v>
      </c>
      <c r="B113" s="1">
        <v>2.6482</v>
      </c>
      <c r="C113" s="1">
        <v>495.29001</v>
      </c>
      <c r="D113" s="2">
        <f t="shared" si="3"/>
        <v>0.00825765765765766</v>
      </c>
      <c r="E113" s="2">
        <f t="shared" si="2"/>
        <v>8.2548335</v>
      </c>
    </row>
    <row r="114" spans="1:5">
      <c r="A114" s="1">
        <v>31.9</v>
      </c>
      <c r="B114" s="1">
        <v>2.6565</v>
      </c>
      <c r="C114" s="1">
        <v>497.69998</v>
      </c>
      <c r="D114" s="2">
        <f t="shared" si="3"/>
        <v>0.00833243243243243</v>
      </c>
      <c r="E114" s="2">
        <f t="shared" si="2"/>
        <v>8.29499966666667</v>
      </c>
    </row>
    <row r="115" spans="1:5">
      <c r="A115" s="1">
        <v>32</v>
      </c>
      <c r="B115" s="1">
        <v>2.6649</v>
      </c>
      <c r="C115" s="1">
        <v>500.92002</v>
      </c>
      <c r="D115" s="2">
        <f t="shared" si="3"/>
        <v>0.00840810810810811</v>
      </c>
      <c r="E115" s="2">
        <f t="shared" ref="E115:E156" si="4">C115/$L$4</f>
        <v>8.348667</v>
      </c>
    </row>
    <row r="116" spans="1:5">
      <c r="A116" s="1">
        <v>32.1</v>
      </c>
      <c r="B116" s="1">
        <v>2.6732</v>
      </c>
      <c r="C116" s="1">
        <v>504.15002</v>
      </c>
      <c r="D116" s="2">
        <f t="shared" si="3"/>
        <v>0.00848288288288289</v>
      </c>
      <c r="E116" s="2">
        <f t="shared" si="4"/>
        <v>8.40250033333333</v>
      </c>
    </row>
    <row r="117" spans="1:5">
      <c r="A117" s="1">
        <v>32.2</v>
      </c>
      <c r="B117" s="1">
        <v>2.6816</v>
      </c>
      <c r="C117" s="1">
        <v>506.55998</v>
      </c>
      <c r="D117" s="2">
        <f t="shared" si="3"/>
        <v>0.00855855855855856</v>
      </c>
      <c r="E117" s="2">
        <f t="shared" si="4"/>
        <v>8.44266633333333</v>
      </c>
    </row>
    <row r="118" spans="1:5">
      <c r="A118" s="1">
        <v>32.3</v>
      </c>
      <c r="B118" s="1">
        <v>2.6899</v>
      </c>
      <c r="C118" s="1">
        <v>509.77997</v>
      </c>
      <c r="D118" s="2">
        <f t="shared" si="3"/>
        <v>0.00863333333333334</v>
      </c>
      <c r="E118" s="2">
        <f t="shared" si="4"/>
        <v>8.49633283333333</v>
      </c>
    </row>
    <row r="119" spans="1:5">
      <c r="A119" s="1">
        <v>32.4</v>
      </c>
      <c r="B119" s="1">
        <v>2.6982</v>
      </c>
      <c r="C119" s="1">
        <v>512.2</v>
      </c>
      <c r="D119" s="2">
        <f t="shared" si="3"/>
        <v>0.00870810810810811</v>
      </c>
      <c r="E119" s="2">
        <f t="shared" si="4"/>
        <v>8.53666666666667</v>
      </c>
    </row>
    <row r="120" spans="1:5">
      <c r="A120" s="1">
        <v>32.5</v>
      </c>
      <c r="B120" s="1">
        <v>2.7066</v>
      </c>
      <c r="C120" s="1">
        <v>514.61002</v>
      </c>
      <c r="D120" s="2">
        <f t="shared" si="3"/>
        <v>0.00878378378378378</v>
      </c>
      <c r="E120" s="2">
        <f t="shared" si="4"/>
        <v>8.57683366666667</v>
      </c>
    </row>
    <row r="121" spans="1:5">
      <c r="A121" s="1">
        <v>32.6</v>
      </c>
      <c r="B121" s="1">
        <v>2.7149</v>
      </c>
      <c r="C121" s="1">
        <v>517.02999</v>
      </c>
      <c r="D121" s="2">
        <f t="shared" si="3"/>
        <v>0.00885855855855856</v>
      </c>
      <c r="E121" s="2">
        <f t="shared" si="4"/>
        <v>8.6171665</v>
      </c>
    </row>
    <row r="122" spans="1:5">
      <c r="A122" s="1">
        <v>32.7</v>
      </c>
      <c r="B122" s="1">
        <v>2.7232</v>
      </c>
      <c r="C122" s="1">
        <v>519.45001</v>
      </c>
      <c r="D122" s="2">
        <f t="shared" si="3"/>
        <v>0.00893333333333333</v>
      </c>
      <c r="E122" s="2">
        <f t="shared" si="4"/>
        <v>8.65750016666667</v>
      </c>
    </row>
    <row r="123" spans="1:5">
      <c r="A123" s="1">
        <v>32.8</v>
      </c>
      <c r="B123" s="1">
        <v>2.7315</v>
      </c>
      <c r="C123" s="1">
        <v>521.85997</v>
      </c>
      <c r="D123" s="2">
        <f t="shared" si="3"/>
        <v>0.00900810810810811</v>
      </c>
      <c r="E123" s="2">
        <f t="shared" si="4"/>
        <v>8.69766616666667</v>
      </c>
    </row>
    <row r="124" spans="1:5">
      <c r="A124" s="1">
        <v>32.9</v>
      </c>
      <c r="B124" s="1">
        <v>2.7399</v>
      </c>
      <c r="C124" s="1">
        <v>524.28</v>
      </c>
      <c r="D124" s="2">
        <f t="shared" si="3"/>
        <v>0.00908378378378379</v>
      </c>
      <c r="E124" s="2">
        <f t="shared" si="4"/>
        <v>8.738</v>
      </c>
    </row>
    <row r="125" spans="1:5">
      <c r="A125" s="1">
        <v>33</v>
      </c>
      <c r="B125" s="1">
        <v>2.7482</v>
      </c>
      <c r="C125" s="1">
        <v>526.70002</v>
      </c>
      <c r="D125" s="2">
        <f t="shared" si="3"/>
        <v>0.00915855855855856</v>
      </c>
      <c r="E125" s="2">
        <f t="shared" si="4"/>
        <v>8.77833366666667</v>
      </c>
    </row>
    <row r="126" spans="1:5">
      <c r="A126" s="1">
        <v>33.1</v>
      </c>
      <c r="B126" s="1">
        <v>2.7566</v>
      </c>
      <c r="C126" s="1">
        <v>528.31002</v>
      </c>
      <c r="D126" s="2">
        <f t="shared" si="3"/>
        <v>0.00923423423423424</v>
      </c>
      <c r="E126" s="2">
        <f t="shared" si="4"/>
        <v>8.805167</v>
      </c>
    </row>
    <row r="127" spans="1:5">
      <c r="A127" s="1">
        <v>33.2</v>
      </c>
      <c r="B127" s="1">
        <v>2.7649</v>
      </c>
      <c r="C127" s="1">
        <v>531.53001</v>
      </c>
      <c r="D127" s="2">
        <f t="shared" si="3"/>
        <v>0.00930900900900901</v>
      </c>
      <c r="E127" s="2">
        <f t="shared" si="4"/>
        <v>8.8588335</v>
      </c>
    </row>
    <row r="128" spans="1:5">
      <c r="A128" s="1">
        <v>33.3</v>
      </c>
      <c r="B128" s="1">
        <v>2.7732</v>
      </c>
      <c r="C128" s="1">
        <v>533.14</v>
      </c>
      <c r="D128" s="2">
        <f t="shared" si="3"/>
        <v>0.00938378378378378</v>
      </c>
      <c r="E128" s="2">
        <f t="shared" si="4"/>
        <v>8.88566666666667</v>
      </c>
    </row>
    <row r="129" spans="1:5">
      <c r="A129" s="1">
        <v>33.4</v>
      </c>
      <c r="B129" s="1">
        <v>2.7816</v>
      </c>
      <c r="C129" s="1">
        <v>535.55002</v>
      </c>
      <c r="D129" s="2">
        <f t="shared" si="3"/>
        <v>0.00945945945945946</v>
      </c>
      <c r="E129" s="2">
        <f t="shared" si="4"/>
        <v>8.92583366666667</v>
      </c>
    </row>
    <row r="130" spans="1:5">
      <c r="A130" s="1">
        <v>33.5</v>
      </c>
      <c r="B130" s="1">
        <v>2.7899</v>
      </c>
      <c r="C130" s="1">
        <v>537.16002</v>
      </c>
      <c r="D130" s="2">
        <f t="shared" si="3"/>
        <v>0.00953423423423423</v>
      </c>
      <c r="E130" s="2">
        <f t="shared" si="4"/>
        <v>8.952667</v>
      </c>
    </row>
    <row r="131" spans="1:5">
      <c r="A131" s="1">
        <v>33.6</v>
      </c>
      <c r="B131" s="1">
        <v>2.7982</v>
      </c>
      <c r="C131" s="1">
        <v>539.57999</v>
      </c>
      <c r="D131" s="2">
        <f t="shared" si="3"/>
        <v>0.00960900900900901</v>
      </c>
      <c r="E131" s="2">
        <f t="shared" si="4"/>
        <v>8.99299983333333</v>
      </c>
    </row>
    <row r="132" spans="1:5">
      <c r="A132" s="1">
        <v>33.7</v>
      </c>
      <c r="B132" s="1">
        <v>2.8065</v>
      </c>
      <c r="C132" s="1">
        <v>541.18998</v>
      </c>
      <c r="D132" s="2">
        <f t="shared" ref="D132:D156" si="5">((B132/$L$3))-0.0156</f>
        <v>0.00968378378378379</v>
      </c>
      <c r="E132" s="2">
        <f t="shared" si="4"/>
        <v>9.019833</v>
      </c>
    </row>
    <row r="133" spans="1:5">
      <c r="A133" s="1">
        <v>33.8</v>
      </c>
      <c r="B133" s="1">
        <v>2.8149</v>
      </c>
      <c r="C133" s="1">
        <v>542.79998</v>
      </c>
      <c r="D133" s="2">
        <f t="shared" si="5"/>
        <v>0.00975945945945946</v>
      </c>
      <c r="E133" s="2">
        <f t="shared" si="4"/>
        <v>9.04666633333333</v>
      </c>
    </row>
    <row r="134" spans="1:5">
      <c r="A134" s="1">
        <v>33.9</v>
      </c>
      <c r="B134" s="1">
        <v>2.8232</v>
      </c>
      <c r="C134" s="1">
        <v>544.40998</v>
      </c>
      <c r="D134" s="2">
        <f t="shared" si="5"/>
        <v>0.00983423423423423</v>
      </c>
      <c r="E134" s="2">
        <f t="shared" si="4"/>
        <v>9.07349966666667</v>
      </c>
    </row>
    <row r="135" spans="1:5">
      <c r="A135" s="1">
        <v>34</v>
      </c>
      <c r="B135" s="1">
        <v>2.8316</v>
      </c>
      <c r="C135" s="1">
        <v>546.02003</v>
      </c>
      <c r="D135" s="2">
        <f t="shared" si="5"/>
        <v>0.00990990990990991</v>
      </c>
      <c r="E135" s="2">
        <f t="shared" si="4"/>
        <v>9.10033383333333</v>
      </c>
    </row>
    <row r="136" spans="1:5">
      <c r="A136" s="1">
        <v>34.1</v>
      </c>
      <c r="B136" s="1">
        <v>2.8399</v>
      </c>
      <c r="C136" s="1">
        <v>547.63002</v>
      </c>
      <c r="D136" s="2">
        <f t="shared" si="5"/>
        <v>0.00998468468468468</v>
      </c>
      <c r="E136" s="2">
        <f t="shared" si="4"/>
        <v>9.127167</v>
      </c>
    </row>
    <row r="137" spans="1:5">
      <c r="A137" s="1">
        <v>34.2</v>
      </c>
      <c r="B137" s="1">
        <v>2.8482</v>
      </c>
      <c r="C137" s="1">
        <v>549.25002</v>
      </c>
      <c r="D137" s="2">
        <f t="shared" si="5"/>
        <v>0.0100594594594595</v>
      </c>
      <c r="E137" s="2">
        <f t="shared" si="4"/>
        <v>9.154167</v>
      </c>
    </row>
    <row r="138" spans="1:5">
      <c r="A138" s="1">
        <v>34.3</v>
      </c>
      <c r="B138" s="1">
        <v>2.8566</v>
      </c>
      <c r="C138" s="1">
        <v>550.04999</v>
      </c>
      <c r="D138" s="2">
        <f t="shared" si="5"/>
        <v>0.0101351351351351</v>
      </c>
      <c r="E138" s="2">
        <f t="shared" si="4"/>
        <v>9.16749983333333</v>
      </c>
    </row>
    <row r="139" spans="1:5">
      <c r="A139" s="1">
        <v>34.4</v>
      </c>
      <c r="B139" s="1">
        <v>2.8649</v>
      </c>
      <c r="C139" s="1">
        <v>551.65999</v>
      </c>
      <c r="D139" s="2">
        <f t="shared" si="5"/>
        <v>0.0102099099099099</v>
      </c>
      <c r="E139" s="2">
        <f t="shared" si="4"/>
        <v>9.19433316666667</v>
      </c>
    </row>
    <row r="140" spans="1:5">
      <c r="A140" s="1">
        <v>34.5</v>
      </c>
      <c r="B140" s="1">
        <v>2.8732</v>
      </c>
      <c r="C140" s="1">
        <v>553.26998</v>
      </c>
      <c r="D140" s="2">
        <f t="shared" si="5"/>
        <v>0.0102846846846847</v>
      </c>
      <c r="E140" s="2">
        <f t="shared" si="4"/>
        <v>9.22116633333333</v>
      </c>
    </row>
    <row r="141" spans="1:5">
      <c r="A141" s="1">
        <v>34.6</v>
      </c>
      <c r="B141" s="1">
        <v>2.8815</v>
      </c>
      <c r="C141" s="1">
        <v>554.08001</v>
      </c>
      <c r="D141" s="2">
        <f t="shared" si="5"/>
        <v>0.0103594594594595</v>
      </c>
      <c r="E141" s="2">
        <f t="shared" si="4"/>
        <v>9.23466683333333</v>
      </c>
    </row>
    <row r="142" spans="1:5">
      <c r="A142" s="1">
        <v>34.7</v>
      </c>
      <c r="B142" s="1">
        <v>2.8899</v>
      </c>
      <c r="C142" s="1">
        <v>554.87998</v>
      </c>
      <c r="D142" s="2">
        <f t="shared" si="5"/>
        <v>0.0104351351351351</v>
      </c>
      <c r="E142" s="2">
        <f t="shared" si="4"/>
        <v>9.24799966666667</v>
      </c>
    </row>
    <row r="143" spans="1:5">
      <c r="A143" s="1">
        <v>34.8</v>
      </c>
      <c r="B143" s="1">
        <v>2.8982</v>
      </c>
      <c r="C143" s="1">
        <v>555.69001</v>
      </c>
      <c r="D143" s="2">
        <f t="shared" si="5"/>
        <v>0.0105099099099099</v>
      </c>
      <c r="E143" s="2">
        <f t="shared" si="4"/>
        <v>9.26150016666667</v>
      </c>
    </row>
    <row r="144" spans="1:5">
      <c r="A144" s="1">
        <v>34.9</v>
      </c>
      <c r="B144" s="1">
        <v>2.9066</v>
      </c>
      <c r="C144" s="1">
        <v>556.48997</v>
      </c>
      <c r="D144" s="2">
        <f t="shared" si="5"/>
        <v>0.0105855855855856</v>
      </c>
      <c r="E144" s="2">
        <f t="shared" si="4"/>
        <v>9.27483283333333</v>
      </c>
    </row>
    <row r="145" spans="1:5">
      <c r="A145" s="1">
        <v>35</v>
      </c>
      <c r="B145" s="1">
        <v>2.9149</v>
      </c>
      <c r="C145" s="1">
        <v>556.48997</v>
      </c>
      <c r="D145" s="2">
        <f t="shared" si="5"/>
        <v>0.0106603603603604</v>
      </c>
      <c r="E145" s="2">
        <f t="shared" si="4"/>
        <v>9.27483283333333</v>
      </c>
    </row>
    <row r="146" spans="1:5">
      <c r="A146" s="1">
        <v>35.1</v>
      </c>
      <c r="B146" s="1">
        <v>2.9232</v>
      </c>
      <c r="C146" s="1">
        <v>557.3</v>
      </c>
      <c r="D146" s="2">
        <f t="shared" si="5"/>
        <v>0.0107351351351351</v>
      </c>
      <c r="E146" s="2">
        <f t="shared" si="4"/>
        <v>9.28833333333333</v>
      </c>
    </row>
    <row r="147" spans="1:5">
      <c r="A147" s="1">
        <v>35.2</v>
      </c>
      <c r="B147" s="1">
        <v>2.9316</v>
      </c>
      <c r="C147" s="1">
        <v>557.3</v>
      </c>
      <c r="D147" s="2">
        <f t="shared" si="5"/>
        <v>0.0108108108108108</v>
      </c>
      <c r="E147" s="2">
        <f t="shared" si="4"/>
        <v>9.28833333333333</v>
      </c>
    </row>
    <row r="148" spans="1:5">
      <c r="A148" s="1">
        <v>35.3</v>
      </c>
      <c r="B148" s="1">
        <v>2.9399</v>
      </c>
      <c r="C148" s="1">
        <v>557.3</v>
      </c>
      <c r="D148" s="2">
        <f t="shared" si="5"/>
        <v>0.0108855855855856</v>
      </c>
      <c r="E148" s="2">
        <f t="shared" si="4"/>
        <v>9.28833333333333</v>
      </c>
    </row>
    <row r="149" spans="1:5">
      <c r="A149" s="1">
        <v>35.4</v>
      </c>
      <c r="B149" s="1">
        <v>2.9482</v>
      </c>
      <c r="C149" s="1">
        <v>557.3</v>
      </c>
      <c r="D149" s="2">
        <f t="shared" si="5"/>
        <v>0.0109603603603604</v>
      </c>
      <c r="E149" s="2">
        <f t="shared" si="4"/>
        <v>9.28833333333333</v>
      </c>
    </row>
    <row r="150" spans="1:5">
      <c r="A150" s="1">
        <v>35.5</v>
      </c>
      <c r="B150" s="1">
        <v>2.9565</v>
      </c>
      <c r="C150" s="1">
        <v>556.48997</v>
      </c>
      <c r="D150" s="2">
        <f t="shared" si="5"/>
        <v>0.0110351351351351</v>
      </c>
      <c r="E150" s="2">
        <f t="shared" si="4"/>
        <v>9.27483283333333</v>
      </c>
    </row>
    <row r="151" spans="1:5">
      <c r="A151" s="1">
        <v>35.6</v>
      </c>
      <c r="B151" s="1">
        <v>2.9649</v>
      </c>
      <c r="C151" s="1">
        <v>555.69001</v>
      </c>
      <c r="D151" s="2">
        <f t="shared" si="5"/>
        <v>0.0111108108108108</v>
      </c>
      <c r="E151" s="2">
        <f t="shared" si="4"/>
        <v>9.26150016666667</v>
      </c>
    </row>
    <row r="152" spans="1:5">
      <c r="A152" s="1">
        <v>35.7</v>
      </c>
      <c r="B152" s="1">
        <v>2.9732</v>
      </c>
      <c r="C152" s="1">
        <v>554.87998</v>
      </c>
      <c r="D152" s="2">
        <f t="shared" si="5"/>
        <v>0.0111855855855856</v>
      </c>
      <c r="E152" s="2">
        <f t="shared" si="4"/>
        <v>9.24799966666667</v>
      </c>
    </row>
    <row r="153" spans="1:5">
      <c r="A153" s="1">
        <v>35.8</v>
      </c>
      <c r="B153" s="1">
        <v>2.9815</v>
      </c>
      <c r="C153" s="1">
        <v>553.26998</v>
      </c>
      <c r="D153" s="2">
        <f t="shared" si="5"/>
        <v>0.0112603603603604</v>
      </c>
      <c r="E153" s="2">
        <f t="shared" si="4"/>
        <v>9.22116633333333</v>
      </c>
    </row>
    <row r="154" spans="1:5">
      <c r="A154" s="1">
        <v>35.9</v>
      </c>
      <c r="B154" s="1">
        <v>2.9899</v>
      </c>
      <c r="C154" s="1">
        <v>550.04999</v>
      </c>
      <c r="D154" s="2">
        <f t="shared" si="5"/>
        <v>0.011336036036036</v>
      </c>
      <c r="E154" s="2">
        <f t="shared" si="4"/>
        <v>9.16749983333333</v>
      </c>
    </row>
    <row r="155" spans="1:5">
      <c r="A155" s="1">
        <v>36</v>
      </c>
      <c r="B155" s="1">
        <v>2.9982</v>
      </c>
      <c r="C155" s="1">
        <v>546.02003</v>
      </c>
      <c r="D155" s="2">
        <f t="shared" si="5"/>
        <v>0.0114108108108108</v>
      </c>
      <c r="E155" s="2">
        <f t="shared" si="4"/>
        <v>9.10033383333333</v>
      </c>
    </row>
    <row r="156" spans="1:5">
      <c r="D156" s="2"/>
      <c r="E156" s="2"/>
    </row>
    <row r="157" spans="1:5">
      <c r="D157" s="2"/>
      <c r="E157" s="2"/>
    </row>
    <row r="158" spans="1:5">
      <c r="D158" s="2"/>
      <c r="E158" s="2"/>
    </row>
    <row r="159" spans="1:5">
      <c r="D159" s="2"/>
      <c r="E159" s="2"/>
    </row>
    <row r="160" spans="1:5">
      <c r="D160" s="2"/>
      <c r="E160" s="2"/>
    </row>
    <row r="161" spans="4:5">
      <c r="D161" s="2"/>
      <c r="E161" s="2"/>
    </row>
    <row r="162" spans="4:5">
      <c r="D162" s="2"/>
      <c r="E162" s="2"/>
    </row>
    <row r="163" spans="4:5">
      <c r="D163" s="2"/>
      <c r="E163" s="2"/>
    </row>
    <row r="164" spans="4:5">
      <c r="D164" s="2"/>
      <c r="E164" s="2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0_1</vt:lpstr>
      <vt:lpstr>0_2</vt:lpstr>
      <vt:lpstr>0_3</vt:lpstr>
      <vt:lpstr>0_4</vt:lpstr>
      <vt:lpstr>0_5</vt:lpstr>
      <vt:lpstr>0_6</vt:lpstr>
      <vt:lpstr>0_7</vt:lpstr>
      <vt:lpstr>0_8</vt:lpstr>
      <vt:lpstr>0_9</vt:lpstr>
      <vt:lpstr>0_10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Youssef</dc:creator>
  <cp:lastModifiedBy>何雄武</cp:lastModifiedBy>
  <dcterms:created xsi:type="dcterms:W3CDTF">2026-04-25T17:45:10Z</dcterms:created>
  <dcterms:modified xsi:type="dcterms:W3CDTF">2026-04-25T17:46:52Z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77D476D118A34CB8B1D31FDE0A73621F_12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