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9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0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0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Youssef\Documents\PhD\PhD Research\Tensile Testing - ASTM Specimens with Random Embedded Defects\For Repository\"/>
    </mc:Choice>
  </mc:AlternateContent>
  <xr:revisionPtr revIDLastSave="0" documentId="13_ncr:1_{0AE81E25-3773-4F05-8EA0-D9B093A5BF4C}" xr6:coauthVersionLast="47" xr6:coauthVersionMax="47" xr10:uidLastSave="{00000000-0000-0000-0000-000000000000}"/>
  <bookViews>
    <workbookView xWindow="-96" yWindow="-96" windowWidth="23232" windowHeight="12432" xr2:uid="{00000000-000D-0000-FFFF-FFFF00000000}"/>
  </bookViews>
  <sheets>
    <sheet name="0_1" sheetId="4" r:id="rId1"/>
    <sheet name="0_2" sheetId="5" r:id="rId2"/>
    <sheet name="0_3" sheetId="6" r:id="rId3"/>
    <sheet name="0_4" sheetId="10" r:id="rId4"/>
    <sheet name="0_5" sheetId="1" r:id="rId5"/>
    <sheet name="0_6" sheetId="2" r:id="rId6"/>
    <sheet name="0_7" sheetId="3" r:id="rId7"/>
    <sheet name="0_8" sheetId="7" r:id="rId8"/>
    <sheet name="0_9" sheetId="8" r:id="rId9"/>
    <sheet name="0_10" sheetId="9" r:id="rId10"/>
  </sheets>
  <calcPr calcId="181029"/>
</workbook>
</file>

<file path=xl/calcChain.xml><?xml version="1.0" encoding="utf-8"?>
<calcChain xmlns="http://schemas.openxmlformats.org/spreadsheetml/2006/main">
  <c r="D4" i="9" l="1"/>
  <c r="D5" i="9"/>
  <c r="D6" i="9"/>
  <c r="D7" i="9"/>
  <c r="D8" i="9"/>
  <c r="D9" i="9"/>
  <c r="D10" i="9"/>
  <c r="D11" i="9"/>
  <c r="D12" i="9"/>
  <c r="D13" i="9"/>
  <c r="D14" i="9"/>
  <c r="D15" i="9"/>
  <c r="D16" i="9"/>
  <c r="D17" i="9"/>
  <c r="D18" i="9"/>
  <c r="D19" i="9"/>
  <c r="D20" i="9"/>
  <c r="D21" i="9"/>
  <c r="D22" i="9"/>
  <c r="D23" i="9"/>
  <c r="D24" i="9"/>
  <c r="D25" i="9"/>
  <c r="D26" i="9"/>
  <c r="D27" i="9"/>
  <c r="D28" i="9"/>
  <c r="D29" i="9"/>
  <c r="D30" i="9"/>
  <c r="D31" i="9"/>
  <c r="D32" i="9"/>
  <c r="D33" i="9"/>
  <c r="D34" i="9"/>
  <c r="D35" i="9"/>
  <c r="D36" i="9"/>
  <c r="D37" i="9"/>
  <c r="D38" i="9"/>
  <c r="D39" i="9"/>
  <c r="D40" i="9"/>
  <c r="D41" i="9"/>
  <c r="D42" i="9"/>
  <c r="D43" i="9"/>
  <c r="D44" i="9"/>
  <c r="D45" i="9"/>
  <c r="D46" i="9"/>
  <c r="D47" i="9"/>
  <c r="D48" i="9"/>
  <c r="D49" i="9"/>
  <c r="D50" i="9"/>
  <c r="D51" i="9"/>
  <c r="D52" i="9"/>
  <c r="D53" i="9"/>
  <c r="D54" i="9"/>
  <c r="D55" i="9"/>
  <c r="D56" i="9"/>
  <c r="D57" i="9"/>
  <c r="D58" i="9"/>
  <c r="D59" i="9"/>
  <c r="D60" i="9"/>
  <c r="D61" i="9"/>
  <c r="D62" i="9"/>
  <c r="D63" i="9"/>
  <c r="D64" i="9"/>
  <c r="D65" i="9"/>
  <c r="D66" i="9"/>
  <c r="D67" i="9"/>
  <c r="D68" i="9"/>
  <c r="D69" i="9"/>
  <c r="D70" i="9"/>
  <c r="D71" i="9"/>
  <c r="D72" i="9"/>
  <c r="D73" i="9"/>
  <c r="D74" i="9"/>
  <c r="D75" i="9"/>
  <c r="D76" i="9"/>
  <c r="D77" i="9"/>
  <c r="D78" i="9"/>
  <c r="D79" i="9"/>
  <c r="D80" i="9"/>
  <c r="D81" i="9"/>
  <c r="D82" i="9"/>
  <c r="D83" i="9"/>
  <c r="D84" i="9"/>
  <c r="D85" i="9"/>
  <c r="D86" i="9"/>
  <c r="D87" i="9"/>
  <c r="D88" i="9"/>
  <c r="D89" i="9"/>
  <c r="D90" i="9"/>
  <c r="D91" i="9"/>
  <c r="D92" i="9"/>
  <c r="D93" i="9"/>
  <c r="D94" i="9"/>
  <c r="D95" i="9"/>
  <c r="D96" i="9"/>
  <c r="D97" i="9"/>
  <c r="D98" i="9"/>
  <c r="D99" i="9"/>
  <c r="D100" i="9"/>
  <c r="D101" i="9"/>
  <c r="D102" i="9"/>
  <c r="D103" i="9"/>
  <c r="D104" i="9"/>
  <c r="D105" i="9"/>
  <c r="D106" i="9"/>
  <c r="D107" i="9"/>
  <c r="D108" i="9"/>
  <c r="D109" i="9"/>
  <c r="D110" i="9"/>
  <c r="D111" i="9"/>
  <c r="D112" i="9"/>
  <c r="D113" i="9"/>
  <c r="D114" i="9"/>
  <c r="D115" i="9"/>
  <c r="D116" i="9"/>
  <c r="D117" i="9"/>
  <c r="D118" i="9"/>
  <c r="D119" i="9"/>
  <c r="D120" i="9"/>
  <c r="D121" i="9"/>
  <c r="D122" i="9"/>
  <c r="D123" i="9"/>
  <c r="D124" i="9"/>
  <c r="D125" i="9"/>
  <c r="D126" i="9"/>
  <c r="D127" i="9"/>
  <c r="D128" i="9"/>
  <c r="D129" i="9"/>
  <c r="D130" i="9"/>
  <c r="D131" i="9"/>
  <c r="D132" i="9"/>
  <c r="D133" i="9"/>
  <c r="D134" i="9"/>
  <c r="D135" i="9"/>
  <c r="D136" i="9"/>
  <c r="D137" i="9"/>
  <c r="D138" i="9"/>
  <c r="D139" i="9"/>
  <c r="D140" i="9"/>
  <c r="D141" i="9"/>
  <c r="D142" i="9"/>
  <c r="D143" i="9"/>
  <c r="D144" i="9"/>
  <c r="D145" i="9"/>
  <c r="D146" i="9"/>
  <c r="D147" i="9"/>
  <c r="D148" i="9"/>
  <c r="D149" i="9"/>
  <c r="D150" i="9"/>
  <c r="D151" i="9"/>
  <c r="D152" i="9"/>
  <c r="D153" i="9"/>
  <c r="D154" i="9"/>
  <c r="D155" i="9"/>
  <c r="D3" i="9"/>
  <c r="D4" i="8"/>
  <c r="D5" i="8"/>
  <c r="D6" i="8"/>
  <c r="D7" i="8"/>
  <c r="D8" i="8"/>
  <c r="D9" i="8"/>
  <c r="D10" i="8"/>
  <c r="D11" i="8"/>
  <c r="D12" i="8"/>
  <c r="D13" i="8"/>
  <c r="D14" i="8"/>
  <c r="D15" i="8"/>
  <c r="D16" i="8"/>
  <c r="D17" i="8"/>
  <c r="D18" i="8"/>
  <c r="D19" i="8"/>
  <c r="D20" i="8"/>
  <c r="D21" i="8"/>
  <c r="D22" i="8"/>
  <c r="D23" i="8"/>
  <c r="D24" i="8"/>
  <c r="D25" i="8"/>
  <c r="D26" i="8"/>
  <c r="D27" i="8"/>
  <c r="D28" i="8"/>
  <c r="D29" i="8"/>
  <c r="D30" i="8"/>
  <c r="D31" i="8"/>
  <c r="D32" i="8"/>
  <c r="D33" i="8"/>
  <c r="D34" i="8"/>
  <c r="D35" i="8"/>
  <c r="D36" i="8"/>
  <c r="D37" i="8"/>
  <c r="D38" i="8"/>
  <c r="D39" i="8"/>
  <c r="D40" i="8"/>
  <c r="D41" i="8"/>
  <c r="D42" i="8"/>
  <c r="D43" i="8"/>
  <c r="D44" i="8"/>
  <c r="D45" i="8"/>
  <c r="D46" i="8"/>
  <c r="D47" i="8"/>
  <c r="D48" i="8"/>
  <c r="D49" i="8"/>
  <c r="D50" i="8"/>
  <c r="D51" i="8"/>
  <c r="D52" i="8"/>
  <c r="D53" i="8"/>
  <c r="D54" i="8"/>
  <c r="D55" i="8"/>
  <c r="D56" i="8"/>
  <c r="D57" i="8"/>
  <c r="D58" i="8"/>
  <c r="D59" i="8"/>
  <c r="D60" i="8"/>
  <c r="D61" i="8"/>
  <c r="D62" i="8"/>
  <c r="D63" i="8"/>
  <c r="D64" i="8"/>
  <c r="D65" i="8"/>
  <c r="D66" i="8"/>
  <c r="D67" i="8"/>
  <c r="D68" i="8"/>
  <c r="D69" i="8"/>
  <c r="D70" i="8"/>
  <c r="D71" i="8"/>
  <c r="D72" i="8"/>
  <c r="D73" i="8"/>
  <c r="D74" i="8"/>
  <c r="D75" i="8"/>
  <c r="D76" i="8"/>
  <c r="D77" i="8"/>
  <c r="D78" i="8"/>
  <c r="D79" i="8"/>
  <c r="D80" i="8"/>
  <c r="D81" i="8"/>
  <c r="D82" i="8"/>
  <c r="D83" i="8"/>
  <c r="D84" i="8"/>
  <c r="D85" i="8"/>
  <c r="D86" i="8"/>
  <c r="D87" i="8"/>
  <c r="D88" i="8"/>
  <c r="D89" i="8"/>
  <c r="D90" i="8"/>
  <c r="D91" i="8"/>
  <c r="D92" i="8"/>
  <c r="D93" i="8"/>
  <c r="D94" i="8"/>
  <c r="D95" i="8"/>
  <c r="D96" i="8"/>
  <c r="D97" i="8"/>
  <c r="D98" i="8"/>
  <c r="D99" i="8"/>
  <c r="D100" i="8"/>
  <c r="D101" i="8"/>
  <c r="D102" i="8"/>
  <c r="D103" i="8"/>
  <c r="D104" i="8"/>
  <c r="D105" i="8"/>
  <c r="D106" i="8"/>
  <c r="D107" i="8"/>
  <c r="D108" i="8"/>
  <c r="D109" i="8"/>
  <c r="D110" i="8"/>
  <c r="D111" i="8"/>
  <c r="D112" i="8"/>
  <c r="D113" i="8"/>
  <c r="D114" i="8"/>
  <c r="D115" i="8"/>
  <c r="D116" i="8"/>
  <c r="D117" i="8"/>
  <c r="D118" i="8"/>
  <c r="D119" i="8"/>
  <c r="D120" i="8"/>
  <c r="D121" i="8"/>
  <c r="D122" i="8"/>
  <c r="D123" i="8"/>
  <c r="D124" i="8"/>
  <c r="D125" i="8"/>
  <c r="D126" i="8"/>
  <c r="D127" i="8"/>
  <c r="D128" i="8"/>
  <c r="D129" i="8"/>
  <c r="D130" i="8"/>
  <c r="D131" i="8"/>
  <c r="D132" i="8"/>
  <c r="D133" i="8"/>
  <c r="D134" i="8"/>
  <c r="D135" i="8"/>
  <c r="D136" i="8"/>
  <c r="D137" i="8"/>
  <c r="D138" i="8"/>
  <c r="D139" i="8"/>
  <c r="D140" i="8"/>
  <c r="D141" i="8"/>
  <c r="D142" i="8"/>
  <c r="D143" i="8"/>
  <c r="D144" i="8"/>
  <c r="D145" i="8"/>
  <c r="D146" i="8"/>
  <c r="D147" i="8"/>
  <c r="D148" i="8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D41" i="3"/>
  <c r="D42" i="3"/>
  <c r="D43" i="3"/>
  <c r="D44" i="3"/>
  <c r="D45" i="3"/>
  <c r="D46" i="3"/>
  <c r="D47" i="3"/>
  <c r="D48" i="3"/>
  <c r="D49" i="3"/>
  <c r="D50" i="3"/>
  <c r="D51" i="3"/>
  <c r="D52" i="3"/>
  <c r="D53" i="3"/>
  <c r="D54" i="3"/>
  <c r="D55" i="3"/>
  <c r="D56" i="3"/>
  <c r="D57" i="3"/>
  <c r="D58" i="3"/>
  <c r="D59" i="3"/>
  <c r="D60" i="3"/>
  <c r="D61" i="3"/>
  <c r="D62" i="3"/>
  <c r="D63" i="3"/>
  <c r="D64" i="3"/>
  <c r="D65" i="3"/>
  <c r="D66" i="3"/>
  <c r="D67" i="3"/>
  <c r="D68" i="3"/>
  <c r="D69" i="3"/>
  <c r="D70" i="3"/>
  <c r="D71" i="3"/>
  <c r="D72" i="3"/>
  <c r="D73" i="3"/>
  <c r="D74" i="3"/>
  <c r="D75" i="3"/>
  <c r="D76" i="3"/>
  <c r="D77" i="3"/>
  <c r="D78" i="3"/>
  <c r="D79" i="3"/>
  <c r="D80" i="3"/>
  <c r="D81" i="3"/>
  <c r="D82" i="3"/>
  <c r="D83" i="3"/>
  <c r="D84" i="3"/>
  <c r="D85" i="3"/>
  <c r="D86" i="3"/>
  <c r="D87" i="3"/>
  <c r="D88" i="3"/>
  <c r="D89" i="3"/>
  <c r="D90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117" i="3"/>
  <c r="D118" i="3"/>
  <c r="D119" i="3"/>
  <c r="D120" i="3"/>
  <c r="D121" i="3"/>
  <c r="D122" i="3"/>
  <c r="D123" i="3"/>
  <c r="D124" i="3"/>
  <c r="D125" i="3"/>
  <c r="D126" i="3"/>
  <c r="D127" i="3"/>
  <c r="D128" i="3"/>
  <c r="D129" i="3"/>
  <c r="D130" i="3"/>
  <c r="D131" i="3"/>
  <c r="D132" i="3"/>
  <c r="D133" i="3"/>
  <c r="D134" i="3"/>
  <c r="D135" i="3"/>
  <c r="D136" i="3"/>
  <c r="D137" i="3"/>
  <c r="D138" i="3"/>
  <c r="D139" i="3"/>
  <c r="D140" i="3"/>
  <c r="D141" i="3"/>
  <c r="D142" i="3"/>
  <c r="D143" i="3"/>
  <c r="D144" i="3"/>
  <c r="D145" i="3"/>
  <c r="D3" i="3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D46" i="2"/>
  <c r="D47" i="2"/>
  <c r="D48" i="2"/>
  <c r="D49" i="2"/>
  <c r="D50" i="2"/>
  <c r="D51" i="2"/>
  <c r="D52" i="2"/>
  <c r="D53" i="2"/>
  <c r="D54" i="2"/>
  <c r="D55" i="2"/>
  <c r="D56" i="2"/>
  <c r="D57" i="2"/>
  <c r="D58" i="2"/>
  <c r="D59" i="2"/>
  <c r="D60" i="2"/>
  <c r="D61" i="2"/>
  <c r="D62" i="2"/>
  <c r="D63" i="2"/>
  <c r="D64" i="2"/>
  <c r="D65" i="2"/>
  <c r="D66" i="2"/>
  <c r="D67" i="2"/>
  <c r="D68" i="2"/>
  <c r="D69" i="2"/>
  <c r="D70" i="2"/>
  <c r="D71" i="2"/>
  <c r="D72" i="2"/>
  <c r="D73" i="2"/>
  <c r="D74" i="2"/>
  <c r="D75" i="2"/>
  <c r="D76" i="2"/>
  <c r="D77" i="2"/>
  <c r="D78" i="2"/>
  <c r="D79" i="2"/>
  <c r="D80" i="2"/>
  <c r="D81" i="2"/>
  <c r="D82" i="2"/>
  <c r="D83" i="2"/>
  <c r="D84" i="2"/>
  <c r="D85" i="2"/>
  <c r="D86" i="2"/>
  <c r="D87" i="2"/>
  <c r="D88" i="2"/>
  <c r="D89" i="2"/>
  <c r="D90" i="2"/>
  <c r="D91" i="2"/>
  <c r="D92" i="2"/>
  <c r="D93" i="2"/>
  <c r="D94" i="2"/>
  <c r="D95" i="2"/>
  <c r="D96" i="2"/>
  <c r="D97" i="2"/>
  <c r="D98" i="2"/>
  <c r="D99" i="2"/>
  <c r="D100" i="2"/>
  <c r="D101" i="2"/>
  <c r="D102" i="2"/>
  <c r="D103" i="2"/>
  <c r="D104" i="2"/>
  <c r="D105" i="2"/>
  <c r="D106" i="2"/>
  <c r="D107" i="2"/>
  <c r="D108" i="2"/>
  <c r="D109" i="2"/>
  <c r="D110" i="2"/>
  <c r="D111" i="2"/>
  <c r="D112" i="2"/>
  <c r="D113" i="2"/>
  <c r="D114" i="2"/>
  <c r="D115" i="2"/>
  <c r="D116" i="2"/>
  <c r="D117" i="2"/>
  <c r="D118" i="2"/>
  <c r="D119" i="2"/>
  <c r="D120" i="2"/>
  <c r="D121" i="2"/>
  <c r="D122" i="2"/>
  <c r="D123" i="2"/>
  <c r="D124" i="2"/>
  <c r="D125" i="2"/>
  <c r="D126" i="2"/>
  <c r="D127" i="2"/>
  <c r="D128" i="2"/>
  <c r="D129" i="2"/>
  <c r="D130" i="2"/>
  <c r="D131" i="2"/>
  <c r="D132" i="2"/>
  <c r="D133" i="2"/>
  <c r="D134" i="2"/>
  <c r="D135" i="2"/>
  <c r="D136" i="2"/>
  <c r="D137" i="2"/>
  <c r="D138" i="2"/>
  <c r="D139" i="2"/>
  <c r="D140" i="2"/>
  <c r="D141" i="2"/>
  <c r="D142" i="2"/>
  <c r="D143" i="2"/>
  <c r="D144" i="2"/>
  <c r="D145" i="2"/>
  <c r="D146" i="2"/>
  <c r="D147" i="2"/>
  <c r="D148" i="2"/>
  <c r="D149" i="2"/>
  <c r="D150" i="2"/>
  <c r="D151" i="2"/>
  <c r="D152" i="2"/>
  <c r="D153" i="2"/>
  <c r="D154" i="2"/>
  <c r="D3" i="2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3" i="1"/>
  <c r="L26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3" i="10"/>
  <c r="D24" i="10"/>
  <c r="D25" i="10"/>
  <c r="D26" i="10"/>
  <c r="D27" i="10"/>
  <c r="D28" i="10"/>
  <c r="D29" i="10"/>
  <c r="D30" i="10"/>
  <c r="D31" i="10"/>
  <c r="D32" i="10"/>
  <c r="D33" i="10"/>
  <c r="D34" i="10"/>
  <c r="D35" i="10"/>
  <c r="D36" i="10"/>
  <c r="D37" i="10"/>
  <c r="D38" i="10"/>
  <c r="D39" i="10"/>
  <c r="D40" i="10"/>
  <c r="D41" i="10"/>
  <c r="D42" i="10"/>
  <c r="D43" i="10"/>
  <c r="D44" i="10"/>
  <c r="D45" i="10"/>
  <c r="D46" i="10"/>
  <c r="D47" i="10"/>
  <c r="D48" i="10"/>
  <c r="D49" i="10"/>
  <c r="D50" i="10"/>
  <c r="D51" i="10"/>
  <c r="D52" i="10"/>
  <c r="D53" i="10"/>
  <c r="D54" i="10"/>
  <c r="D55" i="10"/>
  <c r="D56" i="10"/>
  <c r="D57" i="10"/>
  <c r="D58" i="10"/>
  <c r="D59" i="10"/>
  <c r="D60" i="10"/>
  <c r="D61" i="10"/>
  <c r="D62" i="10"/>
  <c r="D63" i="10"/>
  <c r="D64" i="10"/>
  <c r="D65" i="10"/>
  <c r="D66" i="10"/>
  <c r="D67" i="10"/>
  <c r="D68" i="10"/>
  <c r="D69" i="10"/>
  <c r="D70" i="10"/>
  <c r="D71" i="10"/>
  <c r="D72" i="10"/>
  <c r="D73" i="10"/>
  <c r="D74" i="10"/>
  <c r="D75" i="10"/>
  <c r="D76" i="10"/>
  <c r="D77" i="10"/>
  <c r="D78" i="10"/>
  <c r="D79" i="10"/>
  <c r="D80" i="10"/>
  <c r="D81" i="10"/>
  <c r="D82" i="10"/>
  <c r="D83" i="10"/>
  <c r="D84" i="10"/>
  <c r="D85" i="10"/>
  <c r="D86" i="10"/>
  <c r="D87" i="10"/>
  <c r="D88" i="10"/>
  <c r="D89" i="10"/>
  <c r="D90" i="10"/>
  <c r="D91" i="10"/>
  <c r="D92" i="10"/>
  <c r="D93" i="10"/>
  <c r="D94" i="10"/>
  <c r="D95" i="10"/>
  <c r="D96" i="10"/>
  <c r="D97" i="10"/>
  <c r="D98" i="10"/>
  <c r="D99" i="10"/>
  <c r="D100" i="10"/>
  <c r="D101" i="10"/>
  <c r="D102" i="10"/>
  <c r="D103" i="10"/>
  <c r="D104" i="10"/>
  <c r="D105" i="10"/>
  <c r="D106" i="10"/>
  <c r="D107" i="10"/>
  <c r="D108" i="10"/>
  <c r="D109" i="10"/>
  <c r="D110" i="10"/>
  <c r="D111" i="10"/>
  <c r="D112" i="10"/>
  <c r="D113" i="10"/>
  <c r="D114" i="10"/>
  <c r="D115" i="10"/>
  <c r="D116" i="10"/>
  <c r="D117" i="10"/>
  <c r="D118" i="10"/>
  <c r="D119" i="10"/>
  <c r="D120" i="10"/>
  <c r="D121" i="10"/>
  <c r="D122" i="10"/>
  <c r="D123" i="10"/>
  <c r="D124" i="10"/>
  <c r="D125" i="10"/>
  <c r="D126" i="10"/>
  <c r="D127" i="10"/>
  <c r="D128" i="10"/>
  <c r="D129" i="10"/>
  <c r="D130" i="10"/>
  <c r="D131" i="10"/>
  <c r="D132" i="10"/>
  <c r="D133" i="10"/>
  <c r="D134" i="10"/>
  <c r="D135" i="10"/>
  <c r="D136" i="10"/>
  <c r="D137" i="10"/>
  <c r="D138" i="10"/>
  <c r="D139" i="10"/>
  <c r="D140" i="10"/>
  <c r="D141" i="10"/>
  <c r="D142" i="10"/>
  <c r="D143" i="10"/>
  <c r="D144" i="10"/>
  <c r="D145" i="10"/>
  <c r="D146" i="10"/>
  <c r="D147" i="10"/>
  <c r="D148" i="10"/>
  <c r="D149" i="10"/>
  <c r="D150" i="10"/>
  <c r="D151" i="10"/>
  <c r="D152" i="10"/>
  <c r="D153" i="10"/>
  <c r="D154" i="10"/>
  <c r="D155" i="10"/>
  <c r="D156" i="10"/>
  <c r="D157" i="10"/>
  <c r="D158" i="10"/>
  <c r="D159" i="10"/>
  <c r="D3" i="10"/>
  <c r="E153" i="9"/>
  <c r="E141" i="9"/>
  <c r="E123" i="9"/>
  <c r="E105" i="9"/>
  <c r="E99" i="9"/>
  <c r="E93" i="9"/>
  <c r="E81" i="9"/>
  <c r="E69" i="9"/>
  <c r="E51" i="9"/>
  <c r="E33" i="9"/>
  <c r="E27" i="9"/>
  <c r="E21" i="9"/>
  <c r="E9" i="9"/>
  <c r="L4" i="9"/>
  <c r="E111" i="9" s="1"/>
  <c r="E44" i="8"/>
  <c r="E5" i="8"/>
  <c r="L4" i="8"/>
  <c r="E72" i="8" s="1"/>
  <c r="E101" i="7"/>
  <c r="E85" i="7"/>
  <c r="E77" i="7"/>
  <c r="E61" i="7"/>
  <c r="E53" i="7"/>
  <c r="E37" i="7"/>
  <c r="E29" i="7"/>
  <c r="E13" i="7"/>
  <c r="E5" i="7"/>
  <c r="L4" i="7"/>
  <c r="E164" i="7" s="1"/>
  <c r="E63" i="3"/>
  <c r="E15" i="3"/>
  <c r="L4" i="3"/>
  <c r="E134" i="3" s="1"/>
  <c r="L4" i="2"/>
  <c r="E108" i="1"/>
  <c r="E102" i="1"/>
  <c r="E96" i="1"/>
  <c r="E90" i="1"/>
  <c r="E78" i="1"/>
  <c r="E72" i="1"/>
  <c r="E36" i="1"/>
  <c r="E30" i="1"/>
  <c r="E24" i="1"/>
  <c r="E18" i="1"/>
  <c r="E6" i="1"/>
  <c r="L4" i="1"/>
  <c r="E138" i="1" s="1"/>
  <c r="E7" i="10"/>
  <c r="E8" i="10"/>
  <c r="E19" i="10"/>
  <c r="E20" i="10"/>
  <c r="E31" i="10"/>
  <c r="E32" i="10"/>
  <c r="E43" i="10"/>
  <c r="E44" i="10"/>
  <c r="E55" i="10"/>
  <c r="E56" i="10"/>
  <c r="E67" i="10"/>
  <c r="E68" i="10"/>
  <c r="E79" i="10"/>
  <c r="E80" i="10"/>
  <c r="E91" i="10"/>
  <c r="E92" i="10"/>
  <c r="E102" i="10"/>
  <c r="E103" i="10"/>
  <c r="E104" i="10"/>
  <c r="E115" i="10"/>
  <c r="E116" i="10"/>
  <c r="E127" i="10"/>
  <c r="E128" i="10"/>
  <c r="E138" i="10"/>
  <c r="E139" i="10"/>
  <c r="E140" i="10"/>
  <c r="E151" i="10"/>
  <c r="E152" i="10"/>
  <c r="L4" i="10"/>
  <c r="E9" i="10" s="1"/>
  <c r="E63" i="9" l="1"/>
  <c r="E135" i="9"/>
  <c r="E3" i="9"/>
  <c r="E75" i="9"/>
  <c r="E147" i="9"/>
  <c r="E45" i="9"/>
  <c r="E117" i="9"/>
  <c r="E15" i="9"/>
  <c r="E87" i="9"/>
  <c r="E57" i="9"/>
  <c r="E129" i="9"/>
  <c r="E39" i="9"/>
  <c r="E18" i="8"/>
  <c r="E64" i="8"/>
  <c r="E31" i="8"/>
  <c r="E77" i="8"/>
  <c r="E12" i="8"/>
  <c r="E90" i="8"/>
  <c r="E26" i="8"/>
  <c r="E46" i="8"/>
  <c r="E59" i="8"/>
  <c r="E85" i="8"/>
  <c r="E98" i="8"/>
  <c r="E118" i="8"/>
  <c r="E131" i="8"/>
  <c r="E144" i="8"/>
  <c r="E7" i="8"/>
  <c r="E20" i="8"/>
  <c r="E40" i="8"/>
  <c r="E53" i="8"/>
  <c r="E66" i="8"/>
  <c r="E79" i="8"/>
  <c r="E92" i="8"/>
  <c r="E112" i="8"/>
  <c r="E125" i="8"/>
  <c r="E138" i="8"/>
  <c r="E86" i="8"/>
  <c r="E106" i="8"/>
  <c r="E119" i="8"/>
  <c r="E145" i="8"/>
  <c r="E8" i="8"/>
  <c r="E28" i="8"/>
  <c r="E41" i="8"/>
  <c r="E54" i="8"/>
  <c r="E67" i="8"/>
  <c r="E80" i="8"/>
  <c r="E100" i="8"/>
  <c r="E113" i="8"/>
  <c r="E126" i="8"/>
  <c r="E139" i="8"/>
  <c r="E14" i="8"/>
  <c r="E47" i="8"/>
  <c r="E60" i="8"/>
  <c r="E73" i="8"/>
  <c r="E132" i="8"/>
  <c r="E22" i="8"/>
  <c r="E35" i="8"/>
  <c r="E48" i="8"/>
  <c r="E61" i="8"/>
  <c r="E74" i="8"/>
  <c r="E94" i="8"/>
  <c r="E107" i="8"/>
  <c r="E120" i="8"/>
  <c r="E133" i="8"/>
  <c r="E146" i="8"/>
  <c r="E127" i="8"/>
  <c r="E16" i="8"/>
  <c r="E55" i="8"/>
  <c r="E88" i="8"/>
  <c r="E10" i="8"/>
  <c r="E23" i="8"/>
  <c r="E36" i="8"/>
  <c r="E49" i="8"/>
  <c r="E62" i="8"/>
  <c r="E82" i="8"/>
  <c r="E95" i="8"/>
  <c r="E108" i="8"/>
  <c r="E121" i="8"/>
  <c r="E134" i="8"/>
  <c r="E34" i="8"/>
  <c r="E29" i="8"/>
  <c r="E101" i="8"/>
  <c r="E140" i="8"/>
  <c r="E4" i="8"/>
  <c r="E17" i="8"/>
  <c r="E30" i="8"/>
  <c r="E43" i="8"/>
  <c r="E56" i="8"/>
  <c r="E76" i="8"/>
  <c r="E89" i="8"/>
  <c r="E102" i="8"/>
  <c r="E115" i="8"/>
  <c r="E128" i="8"/>
  <c r="E148" i="8"/>
  <c r="E42" i="8"/>
  <c r="E68" i="8"/>
  <c r="E114" i="8"/>
  <c r="E11" i="8"/>
  <c r="E24" i="8"/>
  <c r="E37" i="8"/>
  <c r="E50" i="8"/>
  <c r="E70" i="8"/>
  <c r="E83" i="8"/>
  <c r="E96" i="8"/>
  <c r="E109" i="8"/>
  <c r="E122" i="8"/>
  <c r="E142" i="8"/>
  <c r="E103" i="8"/>
  <c r="E116" i="8"/>
  <c r="E136" i="8"/>
  <c r="E25" i="8"/>
  <c r="E143" i="8"/>
  <c r="E38" i="8"/>
  <c r="E58" i="8"/>
  <c r="E71" i="8"/>
  <c r="E84" i="8"/>
  <c r="E97" i="8"/>
  <c r="E110" i="8"/>
  <c r="E130" i="8"/>
  <c r="E6" i="8"/>
  <c r="E19" i="8"/>
  <c r="E32" i="8"/>
  <c r="E52" i="8"/>
  <c r="E65" i="8"/>
  <c r="E78" i="8"/>
  <c r="E91" i="8"/>
  <c r="E104" i="8"/>
  <c r="E124" i="8"/>
  <c r="E137" i="8"/>
  <c r="E13" i="8"/>
  <c r="E133" i="7"/>
  <c r="E157" i="7"/>
  <c r="E14" i="7"/>
  <c r="E38" i="7"/>
  <c r="E62" i="7"/>
  <c r="E86" i="7"/>
  <c r="E110" i="7"/>
  <c r="E134" i="7"/>
  <c r="E158" i="7"/>
  <c r="E7" i="7"/>
  <c r="E23" i="7"/>
  <c r="E31" i="7"/>
  <c r="E47" i="7"/>
  <c r="E55" i="7"/>
  <c r="E71" i="7"/>
  <c r="E79" i="7"/>
  <c r="E95" i="7"/>
  <c r="E103" i="7"/>
  <c r="E119" i="7"/>
  <c r="E127" i="7"/>
  <c r="E143" i="7"/>
  <c r="E151" i="7"/>
  <c r="E109" i="7"/>
  <c r="E125" i="7"/>
  <c r="E149" i="7"/>
  <c r="E152" i="7"/>
  <c r="E8" i="7"/>
  <c r="E32" i="7"/>
  <c r="E56" i="7"/>
  <c r="E80" i="7"/>
  <c r="E104" i="7"/>
  <c r="E128" i="7"/>
  <c r="E17" i="7"/>
  <c r="E25" i="7"/>
  <c r="E41" i="7"/>
  <c r="E49" i="7"/>
  <c r="E65" i="7"/>
  <c r="E73" i="7"/>
  <c r="E89" i="7"/>
  <c r="E97" i="7"/>
  <c r="E113" i="7"/>
  <c r="E121" i="7"/>
  <c r="E137" i="7"/>
  <c r="E145" i="7"/>
  <c r="E161" i="7"/>
  <c r="E50" i="7"/>
  <c r="E74" i="7"/>
  <c r="E98" i="7"/>
  <c r="E122" i="7"/>
  <c r="E146" i="7"/>
  <c r="E26" i="7"/>
  <c r="E11" i="7"/>
  <c r="E19" i="7"/>
  <c r="E35" i="7"/>
  <c r="E43" i="7"/>
  <c r="E59" i="7"/>
  <c r="E67" i="7"/>
  <c r="E83" i="7"/>
  <c r="E91" i="7"/>
  <c r="E107" i="7"/>
  <c r="E115" i="7"/>
  <c r="E131" i="7"/>
  <c r="E139" i="7"/>
  <c r="E155" i="7"/>
  <c r="E163" i="7"/>
  <c r="E20" i="7"/>
  <c r="E44" i="7"/>
  <c r="E68" i="7"/>
  <c r="E92" i="7"/>
  <c r="E116" i="7"/>
  <c r="E140" i="7"/>
  <c r="E39" i="3"/>
  <c r="E87" i="3"/>
  <c r="E111" i="3"/>
  <c r="E9" i="3"/>
  <c r="E135" i="3"/>
  <c r="E8" i="3"/>
  <c r="E24" i="3"/>
  <c r="E32" i="3"/>
  <c r="E48" i="3"/>
  <c r="E56" i="3"/>
  <c r="E72" i="3"/>
  <c r="E80" i="3"/>
  <c r="E96" i="3"/>
  <c r="E104" i="3"/>
  <c r="E120" i="3"/>
  <c r="E128" i="3"/>
  <c r="E33" i="3"/>
  <c r="E57" i="3"/>
  <c r="E81" i="3"/>
  <c r="E105" i="3"/>
  <c r="E129" i="3"/>
  <c r="E18" i="3"/>
  <c r="E26" i="3"/>
  <c r="E42" i="3"/>
  <c r="E50" i="3"/>
  <c r="E66" i="3"/>
  <c r="E74" i="3"/>
  <c r="E90" i="3"/>
  <c r="E98" i="3"/>
  <c r="E114" i="3"/>
  <c r="E122" i="3"/>
  <c r="E138" i="3"/>
  <c r="E3" i="3"/>
  <c r="E27" i="3"/>
  <c r="E51" i="3"/>
  <c r="E75" i="3"/>
  <c r="E99" i="3"/>
  <c r="E123" i="3"/>
  <c r="E12" i="3"/>
  <c r="E20" i="3"/>
  <c r="E36" i="3"/>
  <c r="E44" i="3"/>
  <c r="E60" i="3"/>
  <c r="E68" i="3"/>
  <c r="E84" i="3"/>
  <c r="E92" i="3"/>
  <c r="E108" i="3"/>
  <c r="E116" i="3"/>
  <c r="E132" i="3"/>
  <c r="E140" i="3"/>
  <c r="E21" i="3"/>
  <c r="E45" i="3"/>
  <c r="E69" i="3"/>
  <c r="E93" i="3"/>
  <c r="E117" i="3"/>
  <c r="E141" i="3"/>
  <c r="E6" i="3"/>
  <c r="E14" i="3"/>
  <c r="E30" i="3"/>
  <c r="E38" i="3"/>
  <c r="E54" i="3"/>
  <c r="E62" i="3"/>
  <c r="E78" i="3"/>
  <c r="E86" i="3"/>
  <c r="E102" i="3"/>
  <c r="E110" i="3"/>
  <c r="E126" i="3"/>
  <c r="E48" i="1"/>
  <c r="E120" i="1"/>
  <c r="E60" i="1"/>
  <c r="E132" i="1"/>
  <c r="E144" i="1"/>
  <c r="E42" i="1"/>
  <c r="E114" i="1"/>
  <c r="E12" i="1"/>
  <c r="E84" i="1"/>
  <c r="E54" i="1"/>
  <c r="E126" i="1"/>
  <c r="E66" i="1"/>
  <c r="E114" i="10"/>
  <c r="E78" i="10"/>
  <c r="E54" i="10"/>
  <c r="E30" i="10"/>
  <c r="E6" i="10"/>
  <c r="E149" i="10"/>
  <c r="E125" i="10"/>
  <c r="E101" i="10"/>
  <c r="E77" i="10"/>
  <c r="E41" i="10"/>
  <c r="E5" i="10"/>
  <c r="E148" i="10"/>
  <c r="E136" i="10"/>
  <c r="E124" i="10"/>
  <c r="E112" i="10"/>
  <c r="E100" i="10"/>
  <c r="E88" i="10"/>
  <c r="E76" i="10"/>
  <c r="E64" i="10"/>
  <c r="E52" i="10"/>
  <c r="E40" i="10"/>
  <c r="E28" i="10"/>
  <c r="E16" i="10"/>
  <c r="E4" i="10"/>
  <c r="E159" i="10"/>
  <c r="E147" i="10"/>
  <c r="E135" i="10"/>
  <c r="E123" i="10"/>
  <c r="E111" i="10"/>
  <c r="E99" i="10"/>
  <c r="E87" i="10"/>
  <c r="E75" i="10"/>
  <c r="E63" i="10"/>
  <c r="E51" i="10"/>
  <c r="E39" i="10"/>
  <c r="E27" i="10"/>
  <c r="E15" i="10"/>
  <c r="E3" i="10"/>
  <c r="E29" i="10"/>
  <c r="E158" i="10"/>
  <c r="E146" i="10"/>
  <c r="E134" i="10"/>
  <c r="E122" i="10"/>
  <c r="E110" i="10"/>
  <c r="E98" i="10"/>
  <c r="E86" i="10"/>
  <c r="E74" i="10"/>
  <c r="E62" i="10"/>
  <c r="E50" i="10"/>
  <c r="E38" i="10"/>
  <c r="E26" i="10"/>
  <c r="E14" i="10"/>
  <c r="E150" i="10"/>
  <c r="E126" i="10"/>
  <c r="E90" i="10"/>
  <c r="E66" i="10"/>
  <c r="E42" i="10"/>
  <c r="E18" i="10"/>
  <c r="E137" i="10"/>
  <c r="E113" i="10"/>
  <c r="E89" i="10"/>
  <c r="E53" i="10"/>
  <c r="E17" i="10"/>
  <c r="E157" i="10"/>
  <c r="E145" i="10"/>
  <c r="E133" i="10"/>
  <c r="E121" i="10"/>
  <c r="E109" i="10"/>
  <c r="E97" i="10"/>
  <c r="E85" i="10"/>
  <c r="E73" i="10"/>
  <c r="E61" i="10"/>
  <c r="E49" i="10"/>
  <c r="E37" i="10"/>
  <c r="E25" i="10"/>
  <c r="E13" i="10"/>
  <c r="E156" i="10"/>
  <c r="E144" i="10"/>
  <c r="E132" i="10"/>
  <c r="E120" i="10"/>
  <c r="E108" i="10"/>
  <c r="E96" i="10"/>
  <c r="E84" i="10"/>
  <c r="E72" i="10"/>
  <c r="E60" i="10"/>
  <c r="E48" i="10"/>
  <c r="E36" i="10"/>
  <c r="E24" i="10"/>
  <c r="E12" i="10"/>
  <c r="E65" i="10"/>
  <c r="E155" i="10"/>
  <c r="E143" i="10"/>
  <c r="E131" i="10"/>
  <c r="E119" i="10"/>
  <c r="E107" i="10"/>
  <c r="E95" i="10"/>
  <c r="E83" i="10"/>
  <c r="E71" i="10"/>
  <c r="E59" i="10"/>
  <c r="E47" i="10"/>
  <c r="E35" i="10"/>
  <c r="E23" i="10"/>
  <c r="E11" i="10"/>
  <c r="E154" i="10"/>
  <c r="E142" i="10"/>
  <c r="E130" i="10"/>
  <c r="E118" i="10"/>
  <c r="E106" i="10"/>
  <c r="E94" i="10"/>
  <c r="E82" i="10"/>
  <c r="E70" i="10"/>
  <c r="E58" i="10"/>
  <c r="E46" i="10"/>
  <c r="E34" i="10"/>
  <c r="E22" i="10"/>
  <c r="E10" i="10"/>
  <c r="E153" i="10"/>
  <c r="E141" i="10"/>
  <c r="E129" i="10"/>
  <c r="E117" i="10"/>
  <c r="E105" i="10"/>
  <c r="E93" i="10"/>
  <c r="E81" i="10"/>
  <c r="E69" i="10"/>
  <c r="E57" i="10"/>
  <c r="E45" i="10"/>
  <c r="E33" i="10"/>
  <c r="E21" i="10"/>
  <c r="E4" i="9"/>
  <c r="E10" i="9"/>
  <c r="E16" i="9"/>
  <c r="E22" i="9"/>
  <c r="E28" i="9"/>
  <c r="E34" i="9"/>
  <c r="E40" i="9"/>
  <c r="E46" i="9"/>
  <c r="E52" i="9"/>
  <c r="E58" i="9"/>
  <c r="E64" i="9"/>
  <c r="E70" i="9"/>
  <c r="E76" i="9"/>
  <c r="E82" i="9"/>
  <c r="E88" i="9"/>
  <c r="E94" i="9"/>
  <c r="E100" i="9"/>
  <c r="E106" i="9"/>
  <c r="E112" i="9"/>
  <c r="E118" i="9"/>
  <c r="E124" i="9"/>
  <c r="E130" i="9"/>
  <c r="E136" i="9"/>
  <c r="E142" i="9"/>
  <c r="E148" i="9"/>
  <c r="E154" i="9"/>
  <c r="E5" i="9"/>
  <c r="E11" i="9"/>
  <c r="E17" i="9"/>
  <c r="E23" i="9"/>
  <c r="E29" i="9"/>
  <c r="E35" i="9"/>
  <c r="E41" i="9"/>
  <c r="E47" i="9"/>
  <c r="E53" i="9"/>
  <c r="E59" i="9"/>
  <c r="E65" i="9"/>
  <c r="E71" i="9"/>
  <c r="E77" i="9"/>
  <c r="E83" i="9"/>
  <c r="E89" i="9"/>
  <c r="E95" i="9"/>
  <c r="E101" i="9"/>
  <c r="E107" i="9"/>
  <c r="E113" i="9"/>
  <c r="E119" i="9"/>
  <c r="E125" i="9"/>
  <c r="E131" i="9"/>
  <c r="E137" i="9"/>
  <c r="E143" i="9"/>
  <c r="E149" i="9"/>
  <c r="E155" i="9"/>
  <c r="E6" i="9"/>
  <c r="E12" i="9"/>
  <c r="E18" i="9"/>
  <c r="E24" i="9"/>
  <c r="E30" i="9"/>
  <c r="E36" i="9"/>
  <c r="E42" i="9"/>
  <c r="E48" i="9"/>
  <c r="E54" i="9"/>
  <c r="E60" i="9"/>
  <c r="E66" i="9"/>
  <c r="E72" i="9"/>
  <c r="E78" i="9"/>
  <c r="E84" i="9"/>
  <c r="E90" i="9"/>
  <c r="E96" i="9"/>
  <c r="E102" i="9"/>
  <c r="E108" i="9"/>
  <c r="E114" i="9"/>
  <c r="E120" i="9"/>
  <c r="E126" i="9"/>
  <c r="E132" i="9"/>
  <c r="E138" i="9"/>
  <c r="E144" i="9"/>
  <c r="E150" i="9"/>
  <c r="E7" i="9"/>
  <c r="E13" i="9"/>
  <c r="E19" i="9"/>
  <c r="E25" i="9"/>
  <c r="E31" i="9"/>
  <c r="E37" i="9"/>
  <c r="E43" i="9"/>
  <c r="E49" i="9"/>
  <c r="E55" i="9"/>
  <c r="E61" i="9"/>
  <c r="E67" i="9"/>
  <c r="E73" i="9"/>
  <c r="E79" i="9"/>
  <c r="E85" i="9"/>
  <c r="E91" i="9"/>
  <c r="E97" i="9"/>
  <c r="E103" i="9"/>
  <c r="E109" i="9"/>
  <c r="E115" i="9"/>
  <c r="E121" i="9"/>
  <c r="E127" i="9"/>
  <c r="E133" i="9"/>
  <c r="E139" i="9"/>
  <c r="E145" i="9"/>
  <c r="E151" i="9"/>
  <c r="E8" i="9"/>
  <c r="E14" i="9"/>
  <c r="E20" i="9"/>
  <c r="E26" i="9"/>
  <c r="E32" i="9"/>
  <c r="E38" i="9"/>
  <c r="E44" i="9"/>
  <c r="E50" i="9"/>
  <c r="E56" i="9"/>
  <c r="E62" i="9"/>
  <c r="E68" i="9"/>
  <c r="E74" i="9"/>
  <c r="E80" i="9"/>
  <c r="E86" i="9"/>
  <c r="E92" i="9"/>
  <c r="E98" i="9"/>
  <c r="E104" i="9"/>
  <c r="E110" i="9"/>
  <c r="E116" i="9"/>
  <c r="E122" i="9"/>
  <c r="E128" i="9"/>
  <c r="E134" i="9"/>
  <c r="E140" i="9"/>
  <c r="E146" i="9"/>
  <c r="E152" i="9"/>
  <c r="E3" i="8"/>
  <c r="E9" i="8"/>
  <c r="E15" i="8"/>
  <c r="E21" i="8"/>
  <c r="E27" i="8"/>
  <c r="E33" i="8"/>
  <c r="E39" i="8"/>
  <c r="E45" i="8"/>
  <c r="E51" i="8"/>
  <c r="E57" i="8"/>
  <c r="E63" i="8"/>
  <c r="E69" i="8"/>
  <c r="E75" i="8"/>
  <c r="E81" i="8"/>
  <c r="E87" i="8"/>
  <c r="E93" i="8"/>
  <c r="E99" i="8"/>
  <c r="E105" i="8"/>
  <c r="E111" i="8"/>
  <c r="E117" i="8"/>
  <c r="E123" i="8"/>
  <c r="E129" i="8"/>
  <c r="E135" i="8"/>
  <c r="E141" i="8"/>
  <c r="E147" i="8"/>
  <c r="E3" i="7"/>
  <c r="L26" i="7" s="1"/>
  <c r="E9" i="7"/>
  <c r="E15" i="7"/>
  <c r="E21" i="7"/>
  <c r="E27" i="7"/>
  <c r="E33" i="7"/>
  <c r="E39" i="7"/>
  <c r="E45" i="7"/>
  <c r="E51" i="7"/>
  <c r="E57" i="7"/>
  <c r="E63" i="7"/>
  <c r="E69" i="7"/>
  <c r="E75" i="7"/>
  <c r="E81" i="7"/>
  <c r="E87" i="7"/>
  <c r="E93" i="7"/>
  <c r="E99" i="7"/>
  <c r="E105" i="7"/>
  <c r="E111" i="7"/>
  <c r="E117" i="7"/>
  <c r="E123" i="7"/>
  <c r="E129" i="7"/>
  <c r="E135" i="7"/>
  <c r="E141" i="7"/>
  <c r="E147" i="7"/>
  <c r="E153" i="7"/>
  <c r="E159" i="7"/>
  <c r="E4" i="7"/>
  <c r="E10" i="7"/>
  <c r="E16" i="7"/>
  <c r="E22" i="7"/>
  <c r="E28" i="7"/>
  <c r="E34" i="7"/>
  <c r="E40" i="7"/>
  <c r="E46" i="7"/>
  <c r="E52" i="7"/>
  <c r="E58" i="7"/>
  <c r="E64" i="7"/>
  <c r="E70" i="7"/>
  <c r="E76" i="7"/>
  <c r="E82" i="7"/>
  <c r="E88" i="7"/>
  <c r="E94" i="7"/>
  <c r="E100" i="7"/>
  <c r="E106" i="7"/>
  <c r="E112" i="7"/>
  <c r="E118" i="7"/>
  <c r="E124" i="7"/>
  <c r="E130" i="7"/>
  <c r="E136" i="7"/>
  <c r="E142" i="7"/>
  <c r="E148" i="7"/>
  <c r="E154" i="7"/>
  <c r="E160" i="7"/>
  <c r="E6" i="7"/>
  <c r="E12" i="7"/>
  <c r="E18" i="7"/>
  <c r="E24" i="7"/>
  <c r="E30" i="7"/>
  <c r="E36" i="7"/>
  <c r="E42" i="7"/>
  <c r="E48" i="7"/>
  <c r="E54" i="7"/>
  <c r="E60" i="7"/>
  <c r="E66" i="7"/>
  <c r="E72" i="7"/>
  <c r="E78" i="7"/>
  <c r="E84" i="7"/>
  <c r="E90" i="7"/>
  <c r="E96" i="7"/>
  <c r="E102" i="7"/>
  <c r="E108" i="7"/>
  <c r="E114" i="7"/>
  <c r="E120" i="7"/>
  <c r="E126" i="7"/>
  <c r="E132" i="7"/>
  <c r="E138" i="7"/>
  <c r="E144" i="7"/>
  <c r="E150" i="7"/>
  <c r="E156" i="7"/>
  <c r="E162" i="7"/>
  <c r="E5" i="3"/>
  <c r="E11" i="3"/>
  <c r="E17" i="3"/>
  <c r="E23" i="3"/>
  <c r="E29" i="3"/>
  <c r="E35" i="3"/>
  <c r="E41" i="3"/>
  <c r="E47" i="3"/>
  <c r="E53" i="3"/>
  <c r="E59" i="3"/>
  <c r="E65" i="3"/>
  <c r="E71" i="3"/>
  <c r="E77" i="3"/>
  <c r="E83" i="3"/>
  <c r="E89" i="3"/>
  <c r="E95" i="3"/>
  <c r="E101" i="3"/>
  <c r="E107" i="3"/>
  <c r="E113" i="3"/>
  <c r="E119" i="3"/>
  <c r="E125" i="3"/>
  <c r="E131" i="3"/>
  <c r="E137" i="3"/>
  <c r="E143" i="3"/>
  <c r="E144" i="3"/>
  <c r="E7" i="3"/>
  <c r="E13" i="3"/>
  <c r="E19" i="3"/>
  <c r="E25" i="3"/>
  <c r="E31" i="3"/>
  <c r="E37" i="3"/>
  <c r="E43" i="3"/>
  <c r="E49" i="3"/>
  <c r="E55" i="3"/>
  <c r="E61" i="3"/>
  <c r="E67" i="3"/>
  <c r="E73" i="3"/>
  <c r="E79" i="3"/>
  <c r="E85" i="3"/>
  <c r="E91" i="3"/>
  <c r="E97" i="3"/>
  <c r="E103" i="3"/>
  <c r="E109" i="3"/>
  <c r="E115" i="3"/>
  <c r="E121" i="3"/>
  <c r="E127" i="3"/>
  <c r="E133" i="3"/>
  <c r="E139" i="3"/>
  <c r="E145" i="3"/>
  <c r="E4" i="3"/>
  <c r="E10" i="3"/>
  <c r="E16" i="3"/>
  <c r="E22" i="3"/>
  <c r="E28" i="3"/>
  <c r="E34" i="3"/>
  <c r="E40" i="3"/>
  <c r="E46" i="3"/>
  <c r="E52" i="3"/>
  <c r="E58" i="3"/>
  <c r="E64" i="3"/>
  <c r="E70" i="3"/>
  <c r="E76" i="3"/>
  <c r="E82" i="3"/>
  <c r="E88" i="3"/>
  <c r="E94" i="3"/>
  <c r="E100" i="3"/>
  <c r="E106" i="3"/>
  <c r="E112" i="3"/>
  <c r="E118" i="3"/>
  <c r="E124" i="3"/>
  <c r="E130" i="3"/>
  <c r="E136" i="3"/>
  <c r="E142" i="3"/>
  <c r="E6" i="2"/>
  <c r="E12" i="2"/>
  <c r="E18" i="2"/>
  <c r="E24" i="2"/>
  <c r="E30" i="2"/>
  <c r="E36" i="2"/>
  <c r="E42" i="2"/>
  <c r="E48" i="2"/>
  <c r="E54" i="2"/>
  <c r="E60" i="2"/>
  <c r="E66" i="2"/>
  <c r="E72" i="2"/>
  <c r="E78" i="2"/>
  <c r="E84" i="2"/>
  <c r="E90" i="2"/>
  <c r="E96" i="2"/>
  <c r="E102" i="2"/>
  <c r="E108" i="2"/>
  <c r="E114" i="2"/>
  <c r="E120" i="2"/>
  <c r="E126" i="2"/>
  <c r="E132" i="2"/>
  <c r="E138" i="2"/>
  <c r="E144" i="2"/>
  <c r="E150" i="2"/>
  <c r="E7" i="2"/>
  <c r="E19" i="2"/>
  <c r="E25" i="2"/>
  <c r="E31" i="2"/>
  <c r="E43" i="2"/>
  <c r="E49" i="2"/>
  <c r="E55" i="2"/>
  <c r="E61" i="2"/>
  <c r="E67" i="2"/>
  <c r="E73" i="2"/>
  <c r="E79" i="2"/>
  <c r="E85" i="2"/>
  <c r="E91" i="2"/>
  <c r="E97" i="2"/>
  <c r="E103" i="2"/>
  <c r="E109" i="2"/>
  <c r="E115" i="2"/>
  <c r="E121" i="2"/>
  <c r="E127" i="2"/>
  <c r="E133" i="2"/>
  <c r="E151" i="2"/>
  <c r="E37" i="2"/>
  <c r="E145" i="2"/>
  <c r="E13" i="2"/>
  <c r="E139" i="2"/>
  <c r="E8" i="2"/>
  <c r="E14" i="2"/>
  <c r="E20" i="2"/>
  <c r="E26" i="2"/>
  <c r="E32" i="2"/>
  <c r="E38" i="2"/>
  <c r="E44" i="2"/>
  <c r="E50" i="2"/>
  <c r="E56" i="2"/>
  <c r="E62" i="2"/>
  <c r="E68" i="2"/>
  <c r="E74" i="2"/>
  <c r="E80" i="2"/>
  <c r="E86" i="2"/>
  <c r="E92" i="2"/>
  <c r="E98" i="2"/>
  <c r="E104" i="2"/>
  <c r="E110" i="2"/>
  <c r="E116" i="2"/>
  <c r="E122" i="2"/>
  <c r="E128" i="2"/>
  <c r="E134" i="2"/>
  <c r="E140" i="2"/>
  <c r="E146" i="2"/>
  <c r="E152" i="2"/>
  <c r="E3" i="2"/>
  <c r="E9" i="2"/>
  <c r="E15" i="2"/>
  <c r="E21" i="2"/>
  <c r="E27" i="2"/>
  <c r="E33" i="2"/>
  <c r="E39" i="2"/>
  <c r="E45" i="2"/>
  <c r="E51" i="2"/>
  <c r="E57" i="2"/>
  <c r="E63" i="2"/>
  <c r="E69" i="2"/>
  <c r="E75" i="2"/>
  <c r="E81" i="2"/>
  <c r="E87" i="2"/>
  <c r="E93" i="2"/>
  <c r="E99" i="2"/>
  <c r="E105" i="2"/>
  <c r="E111" i="2"/>
  <c r="E117" i="2"/>
  <c r="E123" i="2"/>
  <c r="E129" i="2"/>
  <c r="E135" i="2"/>
  <c r="E141" i="2"/>
  <c r="E147" i="2"/>
  <c r="E153" i="2"/>
  <c r="E4" i="2"/>
  <c r="E10" i="2"/>
  <c r="E16" i="2"/>
  <c r="E22" i="2"/>
  <c r="E28" i="2"/>
  <c r="E34" i="2"/>
  <c r="E40" i="2"/>
  <c r="E46" i="2"/>
  <c r="E52" i="2"/>
  <c r="E58" i="2"/>
  <c r="E64" i="2"/>
  <c r="E70" i="2"/>
  <c r="E76" i="2"/>
  <c r="E82" i="2"/>
  <c r="E88" i="2"/>
  <c r="E94" i="2"/>
  <c r="E100" i="2"/>
  <c r="E106" i="2"/>
  <c r="E112" i="2"/>
  <c r="E118" i="2"/>
  <c r="E124" i="2"/>
  <c r="E130" i="2"/>
  <c r="E136" i="2"/>
  <c r="E142" i="2"/>
  <c r="E148" i="2"/>
  <c r="E154" i="2"/>
  <c r="E5" i="2"/>
  <c r="E11" i="2"/>
  <c r="E17" i="2"/>
  <c r="E23" i="2"/>
  <c r="E29" i="2"/>
  <c r="E35" i="2"/>
  <c r="E41" i="2"/>
  <c r="E47" i="2"/>
  <c r="E53" i="2"/>
  <c r="E59" i="2"/>
  <c r="E65" i="2"/>
  <c r="E71" i="2"/>
  <c r="E77" i="2"/>
  <c r="E83" i="2"/>
  <c r="E89" i="2"/>
  <c r="E95" i="2"/>
  <c r="E101" i="2"/>
  <c r="E107" i="2"/>
  <c r="E113" i="2"/>
  <c r="E119" i="2"/>
  <c r="E125" i="2"/>
  <c r="E131" i="2"/>
  <c r="E137" i="2"/>
  <c r="E143" i="2"/>
  <c r="E149" i="2"/>
  <c r="E7" i="1"/>
  <c r="E13" i="1"/>
  <c r="E19" i="1"/>
  <c r="E25" i="1"/>
  <c r="E31" i="1"/>
  <c r="E37" i="1"/>
  <c r="E43" i="1"/>
  <c r="E49" i="1"/>
  <c r="E55" i="1"/>
  <c r="E61" i="1"/>
  <c r="E67" i="1"/>
  <c r="E73" i="1"/>
  <c r="E79" i="1"/>
  <c r="E85" i="1"/>
  <c r="E91" i="1"/>
  <c r="E97" i="1"/>
  <c r="E103" i="1"/>
  <c r="E109" i="1"/>
  <c r="E115" i="1"/>
  <c r="E121" i="1"/>
  <c r="E127" i="1"/>
  <c r="E133" i="1"/>
  <c r="E139" i="1"/>
  <c r="E145" i="1"/>
  <c r="E8" i="1"/>
  <c r="E14" i="1"/>
  <c r="E20" i="1"/>
  <c r="E26" i="1"/>
  <c r="E32" i="1"/>
  <c r="E38" i="1"/>
  <c r="E44" i="1"/>
  <c r="E50" i="1"/>
  <c r="E56" i="1"/>
  <c r="E62" i="1"/>
  <c r="E68" i="1"/>
  <c r="E74" i="1"/>
  <c r="E80" i="1"/>
  <c r="E86" i="1"/>
  <c r="E92" i="1"/>
  <c r="E98" i="1"/>
  <c r="E104" i="1"/>
  <c r="E110" i="1"/>
  <c r="E116" i="1"/>
  <c r="E122" i="1"/>
  <c r="E128" i="1"/>
  <c r="E134" i="1"/>
  <c r="E140" i="1"/>
  <c r="E3" i="1"/>
  <c r="E9" i="1"/>
  <c r="E15" i="1"/>
  <c r="E21" i="1"/>
  <c r="E27" i="1"/>
  <c r="E33" i="1"/>
  <c r="E39" i="1"/>
  <c r="E45" i="1"/>
  <c r="E51" i="1"/>
  <c r="E57" i="1"/>
  <c r="E63" i="1"/>
  <c r="E69" i="1"/>
  <c r="E75" i="1"/>
  <c r="E81" i="1"/>
  <c r="E87" i="1"/>
  <c r="E93" i="1"/>
  <c r="E99" i="1"/>
  <c r="E105" i="1"/>
  <c r="E111" i="1"/>
  <c r="E117" i="1"/>
  <c r="E123" i="1"/>
  <c r="E129" i="1"/>
  <c r="E135" i="1"/>
  <c r="E141" i="1"/>
  <c r="E4" i="1"/>
  <c r="E10" i="1"/>
  <c r="E16" i="1"/>
  <c r="E22" i="1"/>
  <c r="E28" i="1"/>
  <c r="E34" i="1"/>
  <c r="E40" i="1"/>
  <c r="E46" i="1"/>
  <c r="E52" i="1"/>
  <c r="E58" i="1"/>
  <c r="E64" i="1"/>
  <c r="E70" i="1"/>
  <c r="E76" i="1"/>
  <c r="E82" i="1"/>
  <c r="E88" i="1"/>
  <c r="E94" i="1"/>
  <c r="E100" i="1"/>
  <c r="E106" i="1"/>
  <c r="E112" i="1"/>
  <c r="E118" i="1"/>
  <c r="E124" i="1"/>
  <c r="E130" i="1"/>
  <c r="E136" i="1"/>
  <c r="E142" i="1"/>
  <c r="E5" i="1"/>
  <c r="E11" i="1"/>
  <c r="E17" i="1"/>
  <c r="E23" i="1"/>
  <c r="E29" i="1"/>
  <c r="E35" i="1"/>
  <c r="E41" i="1"/>
  <c r="E47" i="1"/>
  <c r="E53" i="1"/>
  <c r="E59" i="1"/>
  <c r="E65" i="1"/>
  <c r="E71" i="1"/>
  <c r="E77" i="1"/>
  <c r="E83" i="1"/>
  <c r="E89" i="1"/>
  <c r="E95" i="1"/>
  <c r="E101" i="1"/>
  <c r="E107" i="1"/>
  <c r="E113" i="1"/>
  <c r="E119" i="1"/>
  <c r="E125" i="1"/>
  <c r="E131" i="1"/>
  <c r="E137" i="1"/>
  <c r="E143" i="1"/>
  <c r="L26" i="8" l="1"/>
  <c r="L26" i="3"/>
  <c r="L26" i="9"/>
  <c r="L26" i="2"/>
  <c r="L26" i="1"/>
  <c r="D4" i="6" l="1"/>
  <c r="E4" i="6"/>
  <c r="L4" i="6"/>
  <c r="E3" i="6" s="1"/>
  <c r="D5" i="6"/>
  <c r="D6" i="6"/>
  <c r="D7" i="6"/>
  <c r="D8" i="6"/>
  <c r="D9" i="6"/>
  <c r="E9" i="6"/>
  <c r="D10" i="6"/>
  <c r="E10" i="6"/>
  <c r="D11" i="6"/>
  <c r="D12" i="6"/>
  <c r="D13" i="6"/>
  <c r="D14" i="6"/>
  <c r="D15" i="6"/>
  <c r="E15" i="6"/>
  <c r="D16" i="6"/>
  <c r="E16" i="6"/>
  <c r="D17" i="6"/>
  <c r="D18" i="6"/>
  <c r="D19" i="6"/>
  <c r="D20" i="6"/>
  <c r="D21" i="6"/>
  <c r="E21" i="6"/>
  <c r="D22" i="6"/>
  <c r="E22" i="6"/>
  <c r="D23" i="6"/>
  <c r="D24" i="6"/>
  <c r="D25" i="6"/>
  <c r="D26" i="6"/>
  <c r="D27" i="6"/>
  <c r="E27" i="6"/>
  <c r="D28" i="6"/>
  <c r="E28" i="6"/>
  <c r="D29" i="6"/>
  <c r="D30" i="6"/>
  <c r="E30" i="6"/>
  <c r="D31" i="6"/>
  <c r="D32" i="6"/>
  <c r="D33" i="6"/>
  <c r="E33" i="6"/>
  <c r="D34" i="6"/>
  <c r="E34" i="6"/>
  <c r="D35" i="6"/>
  <c r="D36" i="6"/>
  <c r="E36" i="6"/>
  <c r="D37" i="6"/>
  <c r="D38" i="6"/>
  <c r="D39" i="6"/>
  <c r="E39" i="6"/>
  <c r="D40" i="6"/>
  <c r="E40" i="6"/>
  <c r="D41" i="6"/>
  <c r="D42" i="6"/>
  <c r="E42" i="6"/>
  <c r="D43" i="6"/>
  <c r="D44" i="6"/>
  <c r="D45" i="6"/>
  <c r="E45" i="6"/>
  <c r="D46" i="6"/>
  <c r="E46" i="6"/>
  <c r="D47" i="6"/>
  <c r="D48" i="6"/>
  <c r="E48" i="6"/>
  <c r="D49" i="6"/>
  <c r="D50" i="6"/>
  <c r="D51" i="6"/>
  <c r="E51" i="6"/>
  <c r="D52" i="6"/>
  <c r="E52" i="6"/>
  <c r="D53" i="6"/>
  <c r="D54" i="6"/>
  <c r="E54" i="6"/>
  <c r="D55" i="6"/>
  <c r="D56" i="6"/>
  <c r="D57" i="6"/>
  <c r="E57" i="6"/>
  <c r="D58" i="6"/>
  <c r="E58" i="6"/>
  <c r="D59" i="6"/>
  <c r="D60" i="6"/>
  <c r="E60" i="6"/>
  <c r="D61" i="6"/>
  <c r="E61" i="6"/>
  <c r="D62" i="6"/>
  <c r="D63" i="6"/>
  <c r="E63" i="6"/>
  <c r="D64" i="6"/>
  <c r="E64" i="6"/>
  <c r="D65" i="6"/>
  <c r="D66" i="6"/>
  <c r="E66" i="6"/>
  <c r="D67" i="6"/>
  <c r="E67" i="6"/>
  <c r="D68" i="6"/>
  <c r="D69" i="6"/>
  <c r="E69" i="6"/>
  <c r="D70" i="6"/>
  <c r="E70" i="6"/>
  <c r="D71" i="6"/>
  <c r="D72" i="6"/>
  <c r="E72" i="6"/>
  <c r="D73" i="6"/>
  <c r="E73" i="6"/>
  <c r="D74" i="6"/>
  <c r="D75" i="6"/>
  <c r="E75" i="6"/>
  <c r="D76" i="6"/>
  <c r="E76" i="6"/>
  <c r="D77" i="6"/>
  <c r="D78" i="6"/>
  <c r="E78" i="6"/>
  <c r="D79" i="6"/>
  <c r="E79" i="6"/>
  <c r="D80" i="6"/>
  <c r="D81" i="6"/>
  <c r="E81" i="6"/>
  <c r="D82" i="6"/>
  <c r="E82" i="6"/>
  <c r="D83" i="6"/>
  <c r="D84" i="6"/>
  <c r="E84" i="6"/>
  <c r="D85" i="6"/>
  <c r="E85" i="6"/>
  <c r="D86" i="6"/>
  <c r="D87" i="6"/>
  <c r="E87" i="6"/>
  <c r="D88" i="6"/>
  <c r="E88" i="6"/>
  <c r="D89" i="6"/>
  <c r="D90" i="6"/>
  <c r="E90" i="6"/>
  <c r="D91" i="6"/>
  <c r="E91" i="6"/>
  <c r="D92" i="6"/>
  <c r="D93" i="6"/>
  <c r="E93" i="6"/>
  <c r="D94" i="6"/>
  <c r="E94" i="6"/>
  <c r="D95" i="6"/>
  <c r="D96" i="6"/>
  <c r="E96" i="6"/>
  <c r="D97" i="6"/>
  <c r="E97" i="6"/>
  <c r="D98" i="6"/>
  <c r="D99" i="6"/>
  <c r="E99" i="6"/>
  <c r="D100" i="6"/>
  <c r="E100" i="6"/>
  <c r="D101" i="6"/>
  <c r="D102" i="6"/>
  <c r="E102" i="6"/>
  <c r="D103" i="6"/>
  <c r="E103" i="6"/>
  <c r="D104" i="6"/>
  <c r="D105" i="6"/>
  <c r="E105" i="6"/>
  <c r="D106" i="6"/>
  <c r="E106" i="6"/>
  <c r="D107" i="6"/>
  <c r="D108" i="6"/>
  <c r="E108" i="6"/>
  <c r="D109" i="6"/>
  <c r="E109" i="6"/>
  <c r="D110" i="6"/>
  <c r="D111" i="6"/>
  <c r="E111" i="6"/>
  <c r="D112" i="6"/>
  <c r="E112" i="6"/>
  <c r="D113" i="6"/>
  <c r="D114" i="6"/>
  <c r="E114" i="6"/>
  <c r="D115" i="6"/>
  <c r="E115" i="6"/>
  <c r="D116" i="6"/>
  <c r="D117" i="6"/>
  <c r="E117" i="6"/>
  <c r="D118" i="6"/>
  <c r="E118" i="6"/>
  <c r="D119" i="6"/>
  <c r="D120" i="6"/>
  <c r="E120" i="6"/>
  <c r="D121" i="6"/>
  <c r="E121" i="6"/>
  <c r="D122" i="6"/>
  <c r="D123" i="6"/>
  <c r="E123" i="6"/>
  <c r="D124" i="6"/>
  <c r="E124" i="6"/>
  <c r="D125" i="6"/>
  <c r="D126" i="6"/>
  <c r="E126" i="6"/>
  <c r="D127" i="6"/>
  <c r="E127" i="6"/>
  <c r="D128" i="6"/>
  <c r="D129" i="6"/>
  <c r="E129" i="6"/>
  <c r="D130" i="6"/>
  <c r="E130" i="6"/>
  <c r="D131" i="6"/>
  <c r="D132" i="6"/>
  <c r="E132" i="6"/>
  <c r="D133" i="6"/>
  <c r="E133" i="6"/>
  <c r="D134" i="6"/>
  <c r="D135" i="6"/>
  <c r="E135" i="6"/>
  <c r="D136" i="6"/>
  <c r="E136" i="6"/>
  <c r="D137" i="6"/>
  <c r="D138" i="6"/>
  <c r="E138" i="6"/>
  <c r="D139" i="6"/>
  <c r="E139" i="6"/>
  <c r="D140" i="6"/>
  <c r="D141" i="6"/>
  <c r="E141" i="6"/>
  <c r="D142" i="6"/>
  <c r="E142" i="6"/>
  <c r="D143" i="6"/>
  <c r="D144" i="6"/>
  <c r="E144" i="6"/>
  <c r="D145" i="6"/>
  <c r="E145" i="6"/>
  <c r="D146" i="6"/>
  <c r="E146" i="6"/>
  <c r="D147" i="6"/>
  <c r="E147" i="6"/>
  <c r="D148" i="6"/>
  <c r="E148" i="6"/>
  <c r="D149" i="6"/>
  <c r="D150" i="6"/>
  <c r="E150" i="6"/>
  <c r="D151" i="6"/>
  <c r="E151" i="6"/>
  <c r="D152" i="6"/>
  <c r="E152" i="6"/>
  <c r="D153" i="6"/>
  <c r="E153" i="6"/>
  <c r="D154" i="6"/>
  <c r="E154" i="6"/>
  <c r="D155" i="6"/>
  <c r="E155" i="6"/>
  <c r="D156" i="6"/>
  <c r="E156" i="6"/>
  <c r="D157" i="6"/>
  <c r="E157" i="6"/>
  <c r="D158" i="6"/>
  <c r="E158" i="6"/>
  <c r="D159" i="6"/>
  <c r="E159" i="6"/>
  <c r="D160" i="6"/>
  <c r="E160" i="6"/>
  <c r="D161" i="6"/>
  <c r="E161" i="6"/>
  <c r="D162" i="6"/>
  <c r="E162" i="6"/>
  <c r="D163" i="6"/>
  <c r="E163" i="6"/>
  <c r="D164" i="6"/>
  <c r="E164" i="6"/>
  <c r="D165" i="6"/>
  <c r="E165" i="6"/>
  <c r="D166" i="6"/>
  <c r="E166" i="6"/>
  <c r="D167" i="6"/>
  <c r="E167" i="6"/>
  <c r="D168" i="6"/>
  <c r="E168" i="6"/>
  <c r="D169" i="6"/>
  <c r="E169" i="6"/>
  <c r="D170" i="6"/>
  <c r="E170" i="6"/>
  <c r="D171" i="6"/>
  <c r="E171" i="6"/>
  <c r="D172" i="6"/>
  <c r="E172" i="6"/>
  <c r="D173" i="6"/>
  <c r="E173" i="6"/>
  <c r="D174" i="6"/>
  <c r="E174" i="6"/>
  <c r="D175" i="6"/>
  <c r="E175" i="6"/>
  <c r="D176" i="6"/>
  <c r="E176" i="6"/>
  <c r="D177" i="6"/>
  <c r="E177" i="6"/>
  <c r="D178" i="6"/>
  <c r="E178" i="6"/>
  <c r="D179" i="6"/>
  <c r="E179" i="6"/>
  <c r="D180" i="6"/>
  <c r="E180" i="6"/>
  <c r="D181" i="6"/>
  <c r="E181" i="6"/>
  <c r="D182" i="6"/>
  <c r="E182" i="6"/>
  <c r="D183" i="6"/>
  <c r="E183" i="6"/>
  <c r="D184" i="6"/>
  <c r="E184" i="6"/>
  <c r="D185" i="6"/>
  <c r="E185" i="6"/>
  <c r="D186" i="6"/>
  <c r="E186" i="6"/>
  <c r="D187" i="6"/>
  <c r="E187" i="6"/>
  <c r="D188" i="6"/>
  <c r="E188" i="6"/>
  <c r="D189" i="6"/>
  <c r="E189" i="6"/>
  <c r="D190" i="6"/>
  <c r="E190" i="6"/>
  <c r="D191" i="6"/>
  <c r="E191" i="6"/>
  <c r="D192" i="6"/>
  <c r="E192" i="6"/>
  <c r="D193" i="6"/>
  <c r="E193" i="6"/>
  <c r="D194" i="6"/>
  <c r="E194" i="6"/>
  <c r="D195" i="6"/>
  <c r="E195" i="6"/>
  <c r="D196" i="6"/>
  <c r="E196" i="6"/>
  <c r="D197" i="6"/>
  <c r="E197" i="6"/>
  <c r="D198" i="6"/>
  <c r="E198" i="6"/>
  <c r="D199" i="6"/>
  <c r="E199" i="6"/>
  <c r="D200" i="6"/>
  <c r="E200" i="6"/>
  <c r="D201" i="6"/>
  <c r="E201" i="6"/>
  <c r="D202" i="6"/>
  <c r="E202" i="6"/>
  <c r="D203" i="6"/>
  <c r="E203" i="6"/>
  <c r="D204" i="6"/>
  <c r="E204" i="6"/>
  <c r="D205" i="6"/>
  <c r="E205" i="6"/>
  <c r="D206" i="6"/>
  <c r="E206" i="6"/>
  <c r="D207" i="6"/>
  <c r="E207" i="6"/>
  <c r="D208" i="6"/>
  <c r="E208" i="6"/>
  <c r="D209" i="6"/>
  <c r="E209" i="6"/>
  <c r="D210" i="6"/>
  <c r="E210" i="6"/>
  <c r="D211" i="6"/>
  <c r="E211" i="6"/>
  <c r="D212" i="6"/>
  <c r="E212" i="6"/>
  <c r="D213" i="6"/>
  <c r="E213" i="6"/>
  <c r="D214" i="6"/>
  <c r="E214" i="6"/>
  <c r="D215" i="6"/>
  <c r="E215" i="6"/>
  <c r="D216" i="6"/>
  <c r="E216" i="6"/>
  <c r="D217" i="6"/>
  <c r="E217" i="6"/>
  <c r="E26" i="6" l="1"/>
  <c r="E20" i="6"/>
  <c r="E14" i="6"/>
  <c r="E8" i="6"/>
  <c r="L26" i="6" s="1"/>
  <c r="E55" i="6"/>
  <c r="E49" i="6"/>
  <c r="E43" i="6"/>
  <c r="E37" i="6"/>
  <c r="E31" i="6"/>
  <c r="E25" i="6"/>
  <c r="E19" i="6"/>
  <c r="E13" i="6"/>
  <c r="E7" i="6"/>
  <c r="E24" i="6"/>
  <c r="E18" i="6"/>
  <c r="E12" i="6"/>
  <c r="E6" i="6"/>
  <c r="E149" i="6"/>
  <c r="E143" i="6"/>
  <c r="E137" i="6"/>
  <c r="E131" i="6"/>
  <c r="E125" i="6"/>
  <c r="E119" i="6"/>
  <c r="E113" i="6"/>
  <c r="E107" i="6"/>
  <c r="E101" i="6"/>
  <c r="E95" i="6"/>
  <c r="E89" i="6"/>
  <c r="E83" i="6"/>
  <c r="E77" i="6"/>
  <c r="E71" i="6"/>
  <c r="E65" i="6"/>
  <c r="E59" i="6"/>
  <c r="E53" i="6"/>
  <c r="E47" i="6"/>
  <c r="E41" i="6"/>
  <c r="E35" i="6"/>
  <c r="E29" i="6"/>
  <c r="E23" i="6"/>
  <c r="E17" i="6"/>
  <c r="E11" i="6"/>
  <c r="E5" i="6"/>
  <c r="E140" i="6"/>
  <c r="E134" i="6"/>
  <c r="E128" i="6"/>
  <c r="E122" i="6"/>
  <c r="E116" i="6"/>
  <c r="E110" i="6"/>
  <c r="E104" i="6"/>
  <c r="E98" i="6"/>
  <c r="E92" i="6"/>
  <c r="E86" i="6"/>
  <c r="E80" i="6"/>
  <c r="E74" i="6"/>
  <c r="E68" i="6"/>
  <c r="E62" i="6"/>
  <c r="E56" i="6"/>
  <c r="E50" i="6"/>
  <c r="E44" i="6"/>
  <c r="E38" i="6"/>
  <c r="E32" i="6"/>
  <c r="D3" i="5" l="1"/>
  <c r="E3" i="5"/>
  <c r="D4" i="5"/>
  <c r="L4" i="5"/>
  <c r="E9" i="5" s="1"/>
  <c r="D5" i="5"/>
  <c r="E5" i="5"/>
  <c r="D6" i="5"/>
  <c r="E6" i="5"/>
  <c r="D7" i="5"/>
  <c r="E7" i="5"/>
  <c r="D8" i="5"/>
  <c r="E8" i="5"/>
  <c r="D9" i="5"/>
  <c r="D10" i="5"/>
  <c r="E10" i="5"/>
  <c r="D11" i="5"/>
  <c r="E11" i="5"/>
  <c r="D12" i="5"/>
  <c r="E12" i="5"/>
  <c r="D13" i="5"/>
  <c r="E13" i="5"/>
  <c r="D14" i="5"/>
  <c r="E14" i="5"/>
  <c r="D15" i="5"/>
  <c r="E15" i="5"/>
  <c r="D16" i="5"/>
  <c r="E16" i="5"/>
  <c r="D17" i="5"/>
  <c r="E17" i="5"/>
  <c r="D18" i="5"/>
  <c r="E18" i="5"/>
  <c r="D19" i="5"/>
  <c r="E19" i="5"/>
  <c r="D20" i="5"/>
  <c r="E20" i="5"/>
  <c r="D21" i="5"/>
  <c r="E21" i="5"/>
  <c r="D22" i="5"/>
  <c r="E22" i="5"/>
  <c r="D23" i="5"/>
  <c r="E23" i="5"/>
  <c r="D24" i="5"/>
  <c r="E24" i="5"/>
  <c r="D25" i="5"/>
  <c r="E25" i="5"/>
  <c r="D26" i="5"/>
  <c r="E26" i="5"/>
  <c r="D27" i="5"/>
  <c r="E27" i="5"/>
  <c r="D28" i="5"/>
  <c r="E28" i="5"/>
  <c r="D29" i="5"/>
  <c r="E29" i="5"/>
  <c r="D30" i="5"/>
  <c r="E30" i="5"/>
  <c r="D31" i="5"/>
  <c r="E31" i="5"/>
  <c r="D32" i="5"/>
  <c r="E32" i="5"/>
  <c r="D33" i="5"/>
  <c r="E33" i="5"/>
  <c r="D34" i="5"/>
  <c r="E34" i="5"/>
  <c r="D35" i="5"/>
  <c r="E35" i="5"/>
  <c r="D36" i="5"/>
  <c r="E36" i="5"/>
  <c r="D37" i="5"/>
  <c r="E37" i="5"/>
  <c r="D38" i="5"/>
  <c r="E38" i="5"/>
  <c r="D39" i="5"/>
  <c r="E39" i="5"/>
  <c r="D40" i="5"/>
  <c r="E40" i="5"/>
  <c r="D41" i="5"/>
  <c r="E41" i="5"/>
  <c r="D42" i="5"/>
  <c r="E42" i="5"/>
  <c r="D43" i="5"/>
  <c r="E43" i="5"/>
  <c r="D44" i="5"/>
  <c r="E44" i="5"/>
  <c r="D45" i="5"/>
  <c r="E45" i="5"/>
  <c r="D46" i="5"/>
  <c r="E46" i="5"/>
  <c r="D47" i="5"/>
  <c r="E47" i="5"/>
  <c r="D48" i="5"/>
  <c r="E48" i="5"/>
  <c r="D49" i="5"/>
  <c r="E49" i="5"/>
  <c r="D50" i="5"/>
  <c r="E50" i="5"/>
  <c r="D51" i="5"/>
  <c r="E51" i="5"/>
  <c r="D52" i="5"/>
  <c r="E52" i="5"/>
  <c r="D53" i="5"/>
  <c r="E53" i="5"/>
  <c r="D54" i="5"/>
  <c r="E54" i="5"/>
  <c r="D55" i="5"/>
  <c r="E55" i="5"/>
  <c r="D56" i="5"/>
  <c r="E56" i="5"/>
  <c r="D57" i="5"/>
  <c r="E57" i="5"/>
  <c r="D58" i="5"/>
  <c r="E58" i="5"/>
  <c r="D59" i="5"/>
  <c r="E59" i="5"/>
  <c r="D60" i="5"/>
  <c r="E60" i="5"/>
  <c r="D61" i="5"/>
  <c r="E61" i="5"/>
  <c r="D62" i="5"/>
  <c r="E62" i="5"/>
  <c r="D63" i="5"/>
  <c r="E63" i="5"/>
  <c r="D64" i="5"/>
  <c r="E64" i="5"/>
  <c r="D65" i="5"/>
  <c r="E65" i="5"/>
  <c r="D66" i="5"/>
  <c r="E66" i="5"/>
  <c r="D67" i="5"/>
  <c r="E67" i="5"/>
  <c r="D68" i="5"/>
  <c r="E68" i="5"/>
  <c r="D69" i="5"/>
  <c r="E69" i="5"/>
  <c r="D70" i="5"/>
  <c r="E70" i="5"/>
  <c r="D71" i="5"/>
  <c r="E71" i="5"/>
  <c r="D72" i="5"/>
  <c r="E72" i="5"/>
  <c r="D73" i="5"/>
  <c r="E73" i="5"/>
  <c r="D74" i="5"/>
  <c r="E74" i="5"/>
  <c r="D75" i="5"/>
  <c r="E75" i="5"/>
  <c r="D76" i="5"/>
  <c r="E76" i="5"/>
  <c r="D77" i="5"/>
  <c r="E77" i="5"/>
  <c r="D78" i="5"/>
  <c r="E78" i="5"/>
  <c r="D79" i="5"/>
  <c r="E79" i="5"/>
  <c r="D80" i="5"/>
  <c r="E80" i="5"/>
  <c r="D81" i="5"/>
  <c r="E81" i="5"/>
  <c r="D82" i="5"/>
  <c r="E82" i="5"/>
  <c r="D83" i="5"/>
  <c r="E83" i="5"/>
  <c r="D84" i="5"/>
  <c r="E84" i="5"/>
  <c r="D85" i="5"/>
  <c r="E85" i="5"/>
  <c r="D86" i="5"/>
  <c r="E86" i="5"/>
  <c r="D87" i="5"/>
  <c r="E87" i="5"/>
  <c r="D88" i="5"/>
  <c r="E88" i="5"/>
  <c r="D89" i="5"/>
  <c r="E89" i="5"/>
  <c r="D90" i="5"/>
  <c r="E90" i="5"/>
  <c r="D91" i="5"/>
  <c r="E91" i="5"/>
  <c r="D92" i="5"/>
  <c r="E92" i="5"/>
  <c r="D93" i="5"/>
  <c r="E93" i="5"/>
  <c r="D94" i="5"/>
  <c r="E94" i="5"/>
  <c r="D95" i="5"/>
  <c r="E95" i="5"/>
  <c r="D96" i="5"/>
  <c r="E96" i="5"/>
  <c r="D97" i="5"/>
  <c r="E97" i="5"/>
  <c r="D98" i="5"/>
  <c r="E98" i="5"/>
  <c r="D99" i="5"/>
  <c r="E99" i="5"/>
  <c r="D100" i="5"/>
  <c r="E100" i="5"/>
  <c r="D101" i="5"/>
  <c r="E101" i="5"/>
  <c r="D102" i="5"/>
  <c r="E102" i="5"/>
  <c r="D103" i="5"/>
  <c r="E103" i="5"/>
  <c r="D104" i="5"/>
  <c r="E104" i="5"/>
  <c r="D105" i="5"/>
  <c r="E105" i="5"/>
  <c r="D106" i="5"/>
  <c r="E106" i="5"/>
  <c r="D107" i="5"/>
  <c r="E107" i="5"/>
  <c r="D108" i="5"/>
  <c r="E108" i="5"/>
  <c r="D109" i="5"/>
  <c r="E109" i="5"/>
  <c r="D110" i="5"/>
  <c r="E110" i="5"/>
  <c r="D111" i="5"/>
  <c r="E111" i="5"/>
  <c r="D112" i="5"/>
  <c r="E112" i="5"/>
  <c r="D113" i="5"/>
  <c r="E113" i="5"/>
  <c r="D114" i="5"/>
  <c r="E114" i="5"/>
  <c r="D115" i="5"/>
  <c r="E115" i="5"/>
  <c r="D116" i="5"/>
  <c r="E116" i="5"/>
  <c r="D117" i="5"/>
  <c r="E117" i="5"/>
  <c r="D118" i="5"/>
  <c r="E118" i="5"/>
  <c r="D119" i="5"/>
  <c r="E119" i="5"/>
  <c r="D120" i="5"/>
  <c r="E120" i="5"/>
  <c r="D121" i="5"/>
  <c r="E121" i="5"/>
  <c r="D122" i="5"/>
  <c r="E122" i="5"/>
  <c r="D123" i="5"/>
  <c r="E123" i="5"/>
  <c r="D124" i="5"/>
  <c r="E124" i="5"/>
  <c r="D125" i="5"/>
  <c r="E125" i="5"/>
  <c r="D126" i="5"/>
  <c r="E126" i="5"/>
  <c r="D127" i="5"/>
  <c r="E127" i="5"/>
  <c r="D128" i="5"/>
  <c r="E128" i="5"/>
  <c r="D129" i="5"/>
  <c r="E129" i="5"/>
  <c r="D130" i="5"/>
  <c r="E130" i="5"/>
  <c r="D131" i="5"/>
  <c r="E131" i="5"/>
  <c r="D132" i="5"/>
  <c r="E132" i="5"/>
  <c r="D133" i="5"/>
  <c r="E133" i="5"/>
  <c r="D134" i="5"/>
  <c r="E134" i="5"/>
  <c r="D135" i="5"/>
  <c r="E135" i="5"/>
  <c r="D136" i="5"/>
  <c r="E136" i="5"/>
  <c r="D137" i="5"/>
  <c r="E137" i="5"/>
  <c r="D138" i="5"/>
  <c r="E138" i="5"/>
  <c r="D139" i="5"/>
  <c r="E139" i="5"/>
  <c r="D140" i="5"/>
  <c r="E140" i="5"/>
  <c r="D141" i="5"/>
  <c r="E141" i="5"/>
  <c r="D142" i="5"/>
  <c r="E142" i="5"/>
  <c r="D143" i="5"/>
  <c r="E143" i="5"/>
  <c r="D144" i="5"/>
  <c r="E144" i="5"/>
  <c r="D145" i="5"/>
  <c r="E145" i="5"/>
  <c r="D146" i="5"/>
  <c r="E146" i="5"/>
  <c r="D147" i="5"/>
  <c r="E147" i="5"/>
  <c r="D148" i="5"/>
  <c r="E148" i="5"/>
  <c r="D149" i="5"/>
  <c r="E149" i="5"/>
  <c r="D150" i="5"/>
  <c r="E150" i="5"/>
  <c r="D151" i="5"/>
  <c r="E151" i="5"/>
  <c r="D152" i="5"/>
  <c r="E152" i="5"/>
  <c r="D4" i="4"/>
  <c r="L4" i="4"/>
  <c r="E3" i="4" s="1"/>
  <c r="D5" i="4"/>
  <c r="E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139" i="4"/>
  <c r="D140" i="4"/>
  <c r="D141" i="4"/>
  <c r="D142" i="4"/>
  <c r="D143" i="4"/>
  <c r="D144" i="4"/>
  <c r="D145" i="4"/>
  <c r="D146" i="4"/>
  <c r="D147" i="4"/>
  <c r="D148" i="4"/>
  <c r="D149" i="4"/>
  <c r="D150" i="4"/>
  <c r="D151" i="4"/>
  <c r="D152" i="4"/>
  <c r="D153" i="4"/>
  <c r="D154" i="4"/>
  <c r="D155" i="4"/>
  <c r="D156" i="4"/>
  <c r="D157" i="4"/>
  <c r="D158" i="4"/>
  <c r="D159" i="4"/>
  <c r="D160" i="4"/>
  <c r="D161" i="4"/>
  <c r="D162" i="4"/>
  <c r="D163" i="4"/>
  <c r="D164" i="4"/>
  <c r="D165" i="4"/>
  <c r="D166" i="4"/>
  <c r="D167" i="4"/>
  <c r="D168" i="4"/>
  <c r="D169" i="4"/>
  <c r="D170" i="4"/>
  <c r="D171" i="4"/>
  <c r="D172" i="4"/>
  <c r="D173" i="4"/>
  <c r="D174" i="4"/>
  <c r="E4" i="5" l="1"/>
  <c r="L26" i="5" s="1"/>
  <c r="E174" i="4"/>
  <c r="E84" i="4"/>
  <c r="E136" i="4"/>
  <c r="E100" i="4"/>
  <c r="E158" i="4"/>
  <c r="E140" i="4"/>
  <c r="E122" i="4"/>
  <c r="E110" i="4"/>
  <c r="E92" i="4"/>
  <c r="E62" i="4"/>
  <c r="E26" i="4"/>
  <c r="E20" i="4"/>
  <c r="E14" i="4"/>
  <c r="E8" i="4"/>
  <c r="E30" i="4"/>
  <c r="E148" i="4"/>
  <c r="E70" i="4"/>
  <c r="E164" i="4"/>
  <c r="E146" i="4"/>
  <c r="E134" i="4"/>
  <c r="E116" i="4"/>
  <c r="E104" i="4"/>
  <c r="E86" i="4"/>
  <c r="E80" i="4"/>
  <c r="E74" i="4"/>
  <c r="E68" i="4"/>
  <c r="E56" i="4"/>
  <c r="E50" i="4"/>
  <c r="E44" i="4"/>
  <c r="E38" i="4"/>
  <c r="E169" i="4"/>
  <c r="E163" i="4"/>
  <c r="E157" i="4"/>
  <c r="E151" i="4"/>
  <c r="E145" i="4"/>
  <c r="E139" i="4"/>
  <c r="E133" i="4"/>
  <c r="E127" i="4"/>
  <c r="E121" i="4"/>
  <c r="E115" i="4"/>
  <c r="E109" i="4"/>
  <c r="E103" i="4"/>
  <c r="E97" i="4"/>
  <c r="E91" i="4"/>
  <c r="E85" i="4"/>
  <c r="E79" i="4"/>
  <c r="E73" i="4"/>
  <c r="E67" i="4"/>
  <c r="E61" i="4"/>
  <c r="E55" i="4"/>
  <c r="E49" i="4"/>
  <c r="E43" i="4"/>
  <c r="E37" i="4"/>
  <c r="E31" i="4"/>
  <c r="E36" i="4"/>
  <c r="E25" i="4"/>
  <c r="E19" i="4"/>
  <c r="E13" i="4"/>
  <c r="E7" i="4"/>
  <c r="E156" i="4"/>
  <c r="E132" i="4"/>
  <c r="E120" i="4"/>
  <c r="E108" i="4"/>
  <c r="E96" i="4"/>
  <c r="E78" i="4"/>
  <c r="E48" i="4"/>
  <c r="E150" i="4"/>
  <c r="E126" i="4"/>
  <c r="E114" i="4"/>
  <c r="E102" i="4"/>
  <c r="E90" i="4"/>
  <c r="E72" i="4"/>
  <c r="E60" i="4"/>
  <c r="E42" i="4"/>
  <c r="E24" i="4"/>
  <c r="E18" i="4"/>
  <c r="E12" i="4"/>
  <c r="E6" i="4"/>
  <c r="E173" i="4"/>
  <c r="E167" i="4"/>
  <c r="E161" i="4"/>
  <c r="E155" i="4"/>
  <c r="E149" i="4"/>
  <c r="E143" i="4"/>
  <c r="E137" i="4"/>
  <c r="E131" i="4"/>
  <c r="E125" i="4"/>
  <c r="E119" i="4"/>
  <c r="E113" i="4"/>
  <c r="E107" i="4"/>
  <c r="E101" i="4"/>
  <c r="E95" i="4"/>
  <c r="E89" i="4"/>
  <c r="E83" i="4"/>
  <c r="E77" i="4"/>
  <c r="E71" i="4"/>
  <c r="E65" i="4"/>
  <c r="E59" i="4"/>
  <c r="E53" i="4"/>
  <c r="E47" i="4"/>
  <c r="E41" i="4"/>
  <c r="E35" i="4"/>
  <c r="E29" i="4"/>
  <c r="E144" i="4"/>
  <c r="E11" i="4"/>
  <c r="E160" i="4"/>
  <c r="E130" i="4"/>
  <c r="E118" i="4"/>
  <c r="E112" i="4"/>
  <c r="E94" i="4"/>
  <c r="E76" i="4"/>
  <c r="E64" i="4"/>
  <c r="E58" i="4"/>
  <c r="E52" i="4"/>
  <c r="E46" i="4"/>
  <c r="E40" i="4"/>
  <c r="E34" i="4"/>
  <c r="E28" i="4"/>
  <c r="E168" i="4"/>
  <c r="E66" i="4"/>
  <c r="E142" i="4"/>
  <c r="E88" i="4"/>
  <c r="E22" i="4"/>
  <c r="E10" i="4"/>
  <c r="E171" i="4"/>
  <c r="E165" i="4"/>
  <c r="E159" i="4"/>
  <c r="E153" i="4"/>
  <c r="E147" i="4"/>
  <c r="E141" i="4"/>
  <c r="E135" i="4"/>
  <c r="E129" i="4"/>
  <c r="E123" i="4"/>
  <c r="E117" i="4"/>
  <c r="E111" i="4"/>
  <c r="E105" i="4"/>
  <c r="E99" i="4"/>
  <c r="E93" i="4"/>
  <c r="E87" i="4"/>
  <c r="E81" i="4"/>
  <c r="E75" i="4"/>
  <c r="E69" i="4"/>
  <c r="E63" i="4"/>
  <c r="E57" i="4"/>
  <c r="E51" i="4"/>
  <c r="E45" i="4"/>
  <c r="E39" i="4"/>
  <c r="E33" i="4"/>
  <c r="E27" i="4"/>
  <c r="E4" i="4"/>
  <c r="E162" i="4"/>
  <c r="E54" i="4"/>
  <c r="E23" i="4"/>
  <c r="E166" i="4"/>
  <c r="E106" i="4"/>
  <c r="E16" i="4"/>
  <c r="E21" i="4"/>
  <c r="E15" i="4"/>
  <c r="E9" i="4"/>
  <c r="L26" i="4" s="1"/>
  <c r="E138" i="4"/>
  <c r="E17" i="4"/>
  <c r="E172" i="4"/>
  <c r="E154" i="4"/>
  <c r="E124" i="4"/>
  <c r="E82" i="4"/>
  <c r="E170" i="4"/>
  <c r="E152" i="4"/>
  <c r="E128" i="4"/>
  <c r="E98" i="4"/>
  <c r="E32" i="4"/>
</calcChain>
</file>

<file path=xl/sharedStrings.xml><?xml version="1.0" encoding="utf-8"?>
<sst xmlns="http://schemas.openxmlformats.org/spreadsheetml/2006/main" count="180" uniqueCount="19">
  <si>
    <t>Time</t>
  </si>
  <si>
    <t>Extension</t>
  </si>
  <si>
    <t>Load</t>
  </si>
  <si>
    <t>Tensile strain</t>
  </si>
  <si>
    <t>(sec)</t>
  </si>
  <si>
    <t>(mm)</t>
  </si>
  <si>
    <t>(N)</t>
  </si>
  <si>
    <t>(mm/mm)</t>
  </si>
  <si>
    <t>(MPa)</t>
  </si>
  <si>
    <t>mm</t>
  </si>
  <si>
    <t>Strain at UTS</t>
  </si>
  <si>
    <t>MPa</t>
  </si>
  <si>
    <t>UTS</t>
  </si>
  <si>
    <t>mm^2</t>
  </si>
  <si>
    <t>A</t>
  </si>
  <si>
    <t>L</t>
  </si>
  <si>
    <t>(Mpa)</t>
  </si>
  <si>
    <t>Stress</t>
  </si>
  <si>
    <t>mm/mm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</si>
</sst>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8">
    <xf numFmtId="0" fontId="0" fillId="0" borderId="0" xfId="0"/>
    <xf numFmtId="0" fontId="0" fillId="0" borderId="0" xfId="0" applyAlignment="1">
      <alignment horizontal="center"/>
    </xf>
    <xf numFmtId="0" fontId="16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16" fillId="0" borderId="0" xfId="0" applyFont="1"/>
    <xf numFmtId="2" fontId="16" fillId="0" borderId="0" xfId="0" applyNumberFormat="1" applyFont="1"/>
    <xf numFmtId="164" fontId="16" fillId="0" borderId="0" xfId="0" applyNumberFormat="1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Stress</a:t>
            </a:r>
            <a:r>
              <a:rPr lang="en-US" baseline="0"/>
              <a:t> vs Strain</a:t>
            </a:r>
            <a:endParaRPr lang="en-US"/>
          </a:p>
        </c:rich>
      </c:tx>
      <c:layout>
        <c:manualLayout>
          <c:xMode val="edge"/>
          <c:yMode val="edge"/>
          <c:x val="0.4016666666666666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'0_1'!$D$3:$D$174</c:f>
              <c:numCache>
                <c:formatCode>General</c:formatCode>
                <c:ptCount val="172"/>
                <c:pt idx="0">
                  <c:v>0</c:v>
                </c:pt>
                <c:pt idx="1">
                  <c:v>7.4774594594593721E-5</c:v>
                </c:pt>
                <c:pt idx="2">
                  <c:v>1.4954936936936898E-4</c:v>
                </c:pt>
                <c:pt idx="3">
                  <c:v>2.2522504504504486E-4</c:v>
                </c:pt>
                <c:pt idx="4">
                  <c:v>2.9999981981981838E-4</c:v>
                </c:pt>
                <c:pt idx="5">
                  <c:v>3.7567549549549599E-4</c:v>
                </c:pt>
                <c:pt idx="6">
                  <c:v>4.5045027027027125E-4</c:v>
                </c:pt>
                <c:pt idx="7">
                  <c:v>5.2522504504504651E-4</c:v>
                </c:pt>
                <c:pt idx="8">
                  <c:v>6.0090072072071891E-4</c:v>
                </c:pt>
                <c:pt idx="9">
                  <c:v>6.7567549549549417E-4</c:v>
                </c:pt>
                <c:pt idx="10">
                  <c:v>7.5045027027026943E-4</c:v>
                </c:pt>
                <c:pt idx="11">
                  <c:v>8.2522504504504469E-4</c:v>
                </c:pt>
                <c:pt idx="12">
                  <c:v>9.0090072072072057E-4</c:v>
                </c:pt>
                <c:pt idx="13">
                  <c:v>9.7567549549549583E-4</c:v>
                </c:pt>
                <c:pt idx="14">
                  <c:v>1.0513511711711717E-3</c:v>
                </c:pt>
                <c:pt idx="15">
                  <c:v>1.126125945945947E-3</c:v>
                </c:pt>
                <c:pt idx="16">
                  <c:v>1.2009007207207188E-3</c:v>
                </c:pt>
                <c:pt idx="17">
                  <c:v>1.2765763963963946E-3</c:v>
                </c:pt>
                <c:pt idx="18">
                  <c:v>1.3513511711711699E-3</c:v>
                </c:pt>
                <c:pt idx="19">
                  <c:v>1.4261259459459451E-3</c:v>
                </c:pt>
                <c:pt idx="20">
                  <c:v>1.5009007207207204E-3</c:v>
                </c:pt>
                <c:pt idx="21">
                  <c:v>1.5765763963963963E-3</c:v>
                </c:pt>
                <c:pt idx="22">
                  <c:v>1.6513511711711715E-3</c:v>
                </c:pt>
                <c:pt idx="23">
                  <c:v>1.7270268468468474E-3</c:v>
                </c:pt>
                <c:pt idx="24">
                  <c:v>1.8018016216216227E-3</c:v>
                </c:pt>
                <c:pt idx="25">
                  <c:v>1.8765763963963945E-3</c:v>
                </c:pt>
                <c:pt idx="26">
                  <c:v>1.9522520720720703E-3</c:v>
                </c:pt>
                <c:pt idx="27">
                  <c:v>2.0270268468468491E-3</c:v>
                </c:pt>
                <c:pt idx="28">
                  <c:v>2.1018016216216209E-3</c:v>
                </c:pt>
                <c:pt idx="29">
                  <c:v>2.1765763963963961E-3</c:v>
                </c:pt>
                <c:pt idx="30">
                  <c:v>2.252252072072072E-3</c:v>
                </c:pt>
                <c:pt idx="31">
                  <c:v>2.3270268468468473E-3</c:v>
                </c:pt>
                <c:pt idx="32">
                  <c:v>2.4027025225225231E-3</c:v>
                </c:pt>
                <c:pt idx="33">
                  <c:v>2.4774772972972949E-3</c:v>
                </c:pt>
                <c:pt idx="34">
                  <c:v>2.5522520720720702E-3</c:v>
                </c:pt>
                <c:pt idx="35">
                  <c:v>2.6279277477477495E-3</c:v>
                </c:pt>
                <c:pt idx="36">
                  <c:v>2.7027025225225213E-3</c:v>
                </c:pt>
                <c:pt idx="37">
                  <c:v>2.7774772972972966E-3</c:v>
                </c:pt>
                <c:pt idx="38">
                  <c:v>2.8522520720720684E-3</c:v>
                </c:pt>
                <c:pt idx="39">
                  <c:v>2.9279277477477477E-3</c:v>
                </c:pt>
                <c:pt idx="40">
                  <c:v>3.002702522522523E-3</c:v>
                </c:pt>
                <c:pt idx="41">
                  <c:v>3.0783781981981988E-3</c:v>
                </c:pt>
                <c:pt idx="42">
                  <c:v>3.1531529729729741E-3</c:v>
                </c:pt>
                <c:pt idx="43">
                  <c:v>3.2279277477477459E-3</c:v>
                </c:pt>
                <c:pt idx="44">
                  <c:v>3.3036034234234218E-3</c:v>
                </c:pt>
                <c:pt idx="45">
                  <c:v>3.378378198198197E-3</c:v>
                </c:pt>
                <c:pt idx="46">
                  <c:v>3.4531529729729758E-3</c:v>
                </c:pt>
                <c:pt idx="47">
                  <c:v>3.5279277477477475E-3</c:v>
                </c:pt>
                <c:pt idx="48">
                  <c:v>3.6036034234234234E-3</c:v>
                </c:pt>
                <c:pt idx="49">
                  <c:v>3.6783781981981987E-3</c:v>
                </c:pt>
                <c:pt idx="50">
                  <c:v>3.7540538738738746E-3</c:v>
                </c:pt>
                <c:pt idx="51">
                  <c:v>3.8288286486486463E-3</c:v>
                </c:pt>
                <c:pt idx="52">
                  <c:v>3.9036034234234251E-3</c:v>
                </c:pt>
                <c:pt idx="53">
                  <c:v>3.9792790990990975E-3</c:v>
                </c:pt>
                <c:pt idx="54">
                  <c:v>4.0540538738738762E-3</c:v>
                </c:pt>
                <c:pt idx="55">
                  <c:v>4.128828648648648E-3</c:v>
                </c:pt>
                <c:pt idx="56">
                  <c:v>4.2036034234234233E-3</c:v>
                </c:pt>
                <c:pt idx="57">
                  <c:v>4.2792790990990991E-3</c:v>
                </c:pt>
                <c:pt idx="58">
                  <c:v>4.3540538738738709E-3</c:v>
                </c:pt>
                <c:pt idx="59">
                  <c:v>4.4297295495495468E-3</c:v>
                </c:pt>
                <c:pt idx="60">
                  <c:v>4.5045043243243255E-3</c:v>
                </c:pt>
                <c:pt idx="61">
                  <c:v>4.5792790990991008E-3</c:v>
                </c:pt>
                <c:pt idx="62">
                  <c:v>4.6549547747747767E-3</c:v>
                </c:pt>
                <c:pt idx="63">
                  <c:v>4.7297295495495485E-3</c:v>
                </c:pt>
                <c:pt idx="64">
                  <c:v>4.8045043243243237E-3</c:v>
                </c:pt>
                <c:pt idx="65">
                  <c:v>4.879279099099099E-3</c:v>
                </c:pt>
                <c:pt idx="66">
                  <c:v>4.9549547747747714E-3</c:v>
                </c:pt>
                <c:pt idx="67">
                  <c:v>5.0297295495495501E-3</c:v>
                </c:pt>
                <c:pt idx="68">
                  <c:v>5.105405225225226E-3</c:v>
                </c:pt>
                <c:pt idx="69">
                  <c:v>5.1801800000000012E-3</c:v>
                </c:pt>
                <c:pt idx="70">
                  <c:v>5.254954774774773E-3</c:v>
                </c:pt>
                <c:pt idx="71">
                  <c:v>5.3306304504504489E-3</c:v>
                </c:pt>
                <c:pt idx="72">
                  <c:v>5.4054052252252276E-3</c:v>
                </c:pt>
                <c:pt idx="73">
                  <c:v>5.4801799999999994E-3</c:v>
                </c:pt>
                <c:pt idx="74">
                  <c:v>5.5549547747747747E-3</c:v>
                </c:pt>
                <c:pt idx="75">
                  <c:v>5.6306304504504506E-3</c:v>
                </c:pt>
                <c:pt idx="76">
                  <c:v>5.7054052252252258E-3</c:v>
                </c:pt>
                <c:pt idx="77">
                  <c:v>5.7801800000000011E-3</c:v>
                </c:pt>
                <c:pt idx="78">
                  <c:v>5.8558556756756735E-3</c:v>
                </c:pt>
                <c:pt idx="79">
                  <c:v>5.9306304504504522E-3</c:v>
                </c:pt>
                <c:pt idx="80">
                  <c:v>6.0063061261261281E-3</c:v>
                </c:pt>
                <c:pt idx="81">
                  <c:v>6.0810809009008999E-3</c:v>
                </c:pt>
                <c:pt idx="82">
                  <c:v>6.1558556756756751E-3</c:v>
                </c:pt>
                <c:pt idx="83">
                  <c:v>6.2306304504504469E-3</c:v>
                </c:pt>
                <c:pt idx="84">
                  <c:v>6.3063061261261263E-3</c:v>
                </c:pt>
                <c:pt idx="85">
                  <c:v>6.3810809009009015E-3</c:v>
                </c:pt>
                <c:pt idx="86">
                  <c:v>6.4558556756756768E-3</c:v>
                </c:pt>
                <c:pt idx="87">
                  <c:v>6.5315313513513527E-3</c:v>
                </c:pt>
                <c:pt idx="88">
                  <c:v>6.6063061261261245E-3</c:v>
                </c:pt>
                <c:pt idx="89">
                  <c:v>6.6819818018018003E-3</c:v>
                </c:pt>
                <c:pt idx="90">
                  <c:v>6.7567565765765756E-3</c:v>
                </c:pt>
                <c:pt idx="91">
                  <c:v>6.8315313513513543E-3</c:v>
                </c:pt>
                <c:pt idx="92">
                  <c:v>6.9063061261261261E-3</c:v>
                </c:pt>
                <c:pt idx="93">
                  <c:v>6.981981801801802E-3</c:v>
                </c:pt>
                <c:pt idx="94">
                  <c:v>7.0567565765765772E-3</c:v>
                </c:pt>
                <c:pt idx="95">
                  <c:v>7.131531351351349E-3</c:v>
                </c:pt>
                <c:pt idx="96">
                  <c:v>7.2072070270270249E-3</c:v>
                </c:pt>
                <c:pt idx="97">
                  <c:v>7.2819818018018002E-3</c:v>
                </c:pt>
                <c:pt idx="98">
                  <c:v>7.357657477477476E-3</c:v>
                </c:pt>
                <c:pt idx="99">
                  <c:v>7.4324322522522548E-3</c:v>
                </c:pt>
                <c:pt idx="100">
                  <c:v>7.5072070270270266E-3</c:v>
                </c:pt>
                <c:pt idx="101">
                  <c:v>7.5819818018018018E-3</c:v>
                </c:pt>
                <c:pt idx="102">
                  <c:v>7.6576574774774777E-3</c:v>
                </c:pt>
                <c:pt idx="103">
                  <c:v>7.7324322522522495E-3</c:v>
                </c:pt>
                <c:pt idx="104">
                  <c:v>7.8072070270270282E-3</c:v>
                </c:pt>
                <c:pt idx="105">
                  <c:v>7.8828827027027041E-3</c:v>
                </c:pt>
                <c:pt idx="106">
                  <c:v>7.9576574774774794E-3</c:v>
                </c:pt>
                <c:pt idx="107">
                  <c:v>8.0333331531531552E-3</c:v>
                </c:pt>
                <c:pt idx="108">
                  <c:v>8.108107927927927E-3</c:v>
                </c:pt>
                <c:pt idx="109">
                  <c:v>8.1828827027027023E-3</c:v>
                </c:pt>
                <c:pt idx="110">
                  <c:v>8.2576574774774775E-3</c:v>
                </c:pt>
                <c:pt idx="111">
                  <c:v>8.3333331531531499E-3</c:v>
                </c:pt>
                <c:pt idx="112">
                  <c:v>8.4081079279279287E-3</c:v>
                </c:pt>
                <c:pt idx="113">
                  <c:v>8.4828827027027005E-3</c:v>
                </c:pt>
                <c:pt idx="114">
                  <c:v>8.5585583783783798E-3</c:v>
                </c:pt>
                <c:pt idx="115">
                  <c:v>8.6333331531531516E-3</c:v>
                </c:pt>
                <c:pt idx="116">
                  <c:v>8.7090088288288275E-3</c:v>
                </c:pt>
                <c:pt idx="117">
                  <c:v>8.7837836036036027E-3</c:v>
                </c:pt>
                <c:pt idx="118">
                  <c:v>8.858558378378378E-3</c:v>
                </c:pt>
                <c:pt idx="119">
                  <c:v>8.9333331531531533E-3</c:v>
                </c:pt>
                <c:pt idx="120">
                  <c:v>9.0090088288288291E-3</c:v>
                </c:pt>
                <c:pt idx="121">
                  <c:v>9.0837836036036044E-3</c:v>
                </c:pt>
                <c:pt idx="122">
                  <c:v>9.1585583783783762E-3</c:v>
                </c:pt>
                <c:pt idx="123">
                  <c:v>9.2342340540540521E-3</c:v>
                </c:pt>
                <c:pt idx="124">
                  <c:v>9.3090088288288308E-3</c:v>
                </c:pt>
                <c:pt idx="125">
                  <c:v>9.3846845045045067E-3</c:v>
                </c:pt>
                <c:pt idx="126">
                  <c:v>9.4594592792792784E-3</c:v>
                </c:pt>
                <c:pt idx="127">
                  <c:v>9.5342340540540537E-3</c:v>
                </c:pt>
                <c:pt idx="128">
                  <c:v>9.6090088288288255E-3</c:v>
                </c:pt>
                <c:pt idx="129">
                  <c:v>9.6846845045045048E-3</c:v>
                </c:pt>
                <c:pt idx="130">
                  <c:v>9.7594592792792801E-3</c:v>
                </c:pt>
                <c:pt idx="131">
                  <c:v>9.8342340540540554E-3</c:v>
                </c:pt>
                <c:pt idx="132">
                  <c:v>9.9099097297297312E-3</c:v>
                </c:pt>
                <c:pt idx="133">
                  <c:v>9.984684504504503E-3</c:v>
                </c:pt>
                <c:pt idx="134">
                  <c:v>1.0060360180180179E-2</c:v>
                </c:pt>
                <c:pt idx="135">
                  <c:v>1.0135134954954954E-2</c:v>
                </c:pt>
                <c:pt idx="136">
                  <c:v>1.0209909729729733E-2</c:v>
                </c:pt>
                <c:pt idx="137">
                  <c:v>1.0284684504504505E-2</c:v>
                </c:pt>
                <c:pt idx="138">
                  <c:v>1.0360360180180181E-2</c:v>
                </c:pt>
                <c:pt idx="139">
                  <c:v>1.0435134954954956E-2</c:v>
                </c:pt>
                <c:pt idx="140">
                  <c:v>1.0509909729729728E-2</c:v>
                </c:pt>
                <c:pt idx="141">
                  <c:v>1.0585585405405403E-2</c:v>
                </c:pt>
                <c:pt idx="142">
                  <c:v>1.0660360180180179E-2</c:v>
                </c:pt>
                <c:pt idx="143">
                  <c:v>1.0736035855855855E-2</c:v>
                </c:pt>
                <c:pt idx="144">
                  <c:v>1.0810810630630633E-2</c:v>
                </c:pt>
                <c:pt idx="145">
                  <c:v>1.0885585405405405E-2</c:v>
                </c:pt>
                <c:pt idx="146">
                  <c:v>1.096036018018018E-2</c:v>
                </c:pt>
                <c:pt idx="147">
                  <c:v>1.1036035855855856E-2</c:v>
                </c:pt>
                <c:pt idx="148">
                  <c:v>1.1110810630630628E-2</c:v>
                </c:pt>
                <c:pt idx="149">
                  <c:v>1.1185585405405407E-2</c:v>
                </c:pt>
                <c:pt idx="150">
                  <c:v>1.1261261081081083E-2</c:v>
                </c:pt>
                <c:pt idx="151">
                  <c:v>1.1336035855855858E-2</c:v>
                </c:pt>
                <c:pt idx="152">
                  <c:v>1.141081063063063E-2</c:v>
                </c:pt>
                <c:pt idx="153">
                  <c:v>1.1486486306306306E-2</c:v>
                </c:pt>
                <c:pt idx="154">
                  <c:v>1.1561261081081081E-2</c:v>
                </c:pt>
                <c:pt idx="155">
                  <c:v>1.1636035855855856E-2</c:v>
                </c:pt>
                <c:pt idx="156">
                  <c:v>1.1711711531531529E-2</c:v>
                </c:pt>
                <c:pt idx="157">
                  <c:v>1.1786486306306307E-2</c:v>
                </c:pt>
                <c:pt idx="158">
                  <c:v>1.1861261081081079E-2</c:v>
                </c:pt>
                <c:pt idx="159">
                  <c:v>1.1936936756756758E-2</c:v>
                </c:pt>
                <c:pt idx="160">
                  <c:v>1.201171153153153E-2</c:v>
                </c:pt>
                <c:pt idx="161">
                  <c:v>1.2086486306306309E-2</c:v>
                </c:pt>
                <c:pt idx="162">
                  <c:v>1.2162161981981981E-2</c:v>
                </c:pt>
                <c:pt idx="163">
                  <c:v>1.2236936756756757E-2</c:v>
                </c:pt>
                <c:pt idx="164">
                  <c:v>1.2311711531531532E-2</c:v>
                </c:pt>
                <c:pt idx="165">
                  <c:v>1.2387387207207208E-2</c:v>
                </c:pt>
                <c:pt idx="166">
                  <c:v>1.2462161981981983E-2</c:v>
                </c:pt>
                <c:pt idx="167">
                  <c:v>1.2536936756756755E-2</c:v>
                </c:pt>
                <c:pt idx="168">
                  <c:v>1.2612612432432431E-2</c:v>
                </c:pt>
                <c:pt idx="169">
                  <c:v>1.2687387207207209E-2</c:v>
                </c:pt>
                <c:pt idx="170">
                  <c:v>1.2762161981981981E-2</c:v>
                </c:pt>
                <c:pt idx="171">
                  <c:v>1.2836936756756756E-2</c:v>
                </c:pt>
              </c:numCache>
            </c:numRef>
          </c:xVal>
          <c:yVal>
            <c:numRef>
              <c:f>'0_1'!$E$3:$E$174</c:f>
              <c:numCache>
                <c:formatCode>General</c:formatCode>
                <c:ptCount val="172"/>
                <c:pt idx="0">
                  <c:v>0.24149999999999999</c:v>
                </c:pt>
                <c:pt idx="1">
                  <c:v>0.255</c:v>
                </c:pt>
                <c:pt idx="2">
                  <c:v>0.29516666666666669</c:v>
                </c:pt>
                <c:pt idx="3">
                  <c:v>0.34883333333333333</c:v>
                </c:pt>
                <c:pt idx="4">
                  <c:v>0.38916666666666672</c:v>
                </c:pt>
                <c:pt idx="5">
                  <c:v>0.44283333333333336</c:v>
                </c:pt>
                <c:pt idx="6">
                  <c:v>0.4965</c:v>
                </c:pt>
                <c:pt idx="7">
                  <c:v>0.56366666666666665</c:v>
                </c:pt>
                <c:pt idx="8">
                  <c:v>0.61733333333333329</c:v>
                </c:pt>
                <c:pt idx="9">
                  <c:v>0.67099999999999993</c:v>
                </c:pt>
                <c:pt idx="10">
                  <c:v>0.73816666666666664</c:v>
                </c:pt>
                <c:pt idx="11">
                  <c:v>0.80533333333333335</c:v>
                </c:pt>
                <c:pt idx="12">
                  <c:v>0.85899999999999999</c:v>
                </c:pt>
                <c:pt idx="13">
                  <c:v>0.92600000000000005</c:v>
                </c:pt>
                <c:pt idx="14">
                  <c:v>0.99316666666666675</c:v>
                </c:pt>
                <c:pt idx="15">
                  <c:v>1.0603333333333333</c:v>
                </c:pt>
                <c:pt idx="16">
                  <c:v>1.1273333333333333</c:v>
                </c:pt>
                <c:pt idx="17">
                  <c:v>1.1945000000000001</c:v>
                </c:pt>
                <c:pt idx="18">
                  <c:v>1.2749999999999999</c:v>
                </c:pt>
                <c:pt idx="19">
                  <c:v>1.3556666666666668</c:v>
                </c:pt>
                <c:pt idx="20">
                  <c:v>1.4361666666666666</c:v>
                </c:pt>
                <c:pt idx="21">
                  <c:v>1.5301666666666667</c:v>
                </c:pt>
                <c:pt idx="22">
                  <c:v>1.6106666666666667</c:v>
                </c:pt>
                <c:pt idx="23">
                  <c:v>1.6911666666666667</c:v>
                </c:pt>
                <c:pt idx="24">
                  <c:v>1.7851666666666666</c:v>
                </c:pt>
                <c:pt idx="25">
                  <c:v>1.8656666666666666</c:v>
                </c:pt>
                <c:pt idx="26">
                  <c:v>1.9461666666666666</c:v>
                </c:pt>
                <c:pt idx="27">
                  <c:v>2.0266666666666664</c:v>
                </c:pt>
                <c:pt idx="28">
                  <c:v>2.1073333333333335</c:v>
                </c:pt>
                <c:pt idx="29">
                  <c:v>2.2011666666666665</c:v>
                </c:pt>
                <c:pt idx="30">
                  <c:v>2.2816666666666667</c:v>
                </c:pt>
                <c:pt idx="31">
                  <c:v>2.3623331666666667</c:v>
                </c:pt>
                <c:pt idx="32">
                  <c:v>2.4561668333333335</c:v>
                </c:pt>
                <c:pt idx="33">
                  <c:v>2.5368333333333335</c:v>
                </c:pt>
                <c:pt idx="34">
                  <c:v>2.6173333333333333</c:v>
                </c:pt>
                <c:pt idx="35">
                  <c:v>2.6978333333333335</c:v>
                </c:pt>
                <c:pt idx="36">
                  <c:v>2.7918333333333334</c:v>
                </c:pt>
                <c:pt idx="37">
                  <c:v>2.8723333333333332</c:v>
                </c:pt>
                <c:pt idx="38">
                  <c:v>2.9528334999999997</c:v>
                </c:pt>
                <c:pt idx="39">
                  <c:v>3.0333331666666665</c:v>
                </c:pt>
                <c:pt idx="40">
                  <c:v>3.1273331666666668</c:v>
                </c:pt>
                <c:pt idx="41">
                  <c:v>3.2078333333333333</c:v>
                </c:pt>
                <c:pt idx="42">
                  <c:v>3.2885</c:v>
                </c:pt>
                <c:pt idx="43">
                  <c:v>3.3689999999999998</c:v>
                </c:pt>
                <c:pt idx="44">
                  <c:v>3.4495</c:v>
                </c:pt>
                <c:pt idx="45">
                  <c:v>3.5435001666666666</c:v>
                </c:pt>
                <c:pt idx="46">
                  <c:v>3.6239998333333334</c:v>
                </c:pt>
                <c:pt idx="47">
                  <c:v>3.7045000000000003</c:v>
                </c:pt>
                <c:pt idx="48">
                  <c:v>3.7849999999999997</c:v>
                </c:pt>
                <c:pt idx="49">
                  <c:v>3.8656666666666668</c:v>
                </c:pt>
                <c:pt idx="50">
                  <c:v>3.9461664999999999</c:v>
                </c:pt>
                <c:pt idx="51">
                  <c:v>4.0266666666666664</c:v>
                </c:pt>
                <c:pt idx="52">
                  <c:v>4.1071664999999999</c:v>
                </c:pt>
                <c:pt idx="53">
                  <c:v>4.1876668333333331</c:v>
                </c:pt>
                <c:pt idx="54">
                  <c:v>4.2683333333333335</c:v>
                </c:pt>
                <c:pt idx="55">
                  <c:v>4.3488331666666662</c:v>
                </c:pt>
                <c:pt idx="56">
                  <c:v>4.4293333333333331</c:v>
                </c:pt>
                <c:pt idx="57">
                  <c:v>4.5098331666666667</c:v>
                </c:pt>
                <c:pt idx="58">
                  <c:v>4.5905001666666667</c:v>
                </c:pt>
                <c:pt idx="59">
                  <c:v>4.6710000000000003</c:v>
                </c:pt>
                <c:pt idx="60">
                  <c:v>4.7380001666666667</c:v>
                </c:pt>
                <c:pt idx="61">
                  <c:v>4.8186666666666671</c:v>
                </c:pt>
                <c:pt idx="62">
                  <c:v>4.8991665000000006</c:v>
                </c:pt>
                <c:pt idx="63">
                  <c:v>4.9663335000000002</c:v>
                </c:pt>
                <c:pt idx="64">
                  <c:v>5.0468333333333337</c:v>
                </c:pt>
                <c:pt idx="65">
                  <c:v>5.1273331666666673</c:v>
                </c:pt>
                <c:pt idx="66">
                  <c:v>5.2078333333333342</c:v>
                </c:pt>
                <c:pt idx="67">
                  <c:v>5.2749998333333341</c:v>
                </c:pt>
                <c:pt idx="68">
                  <c:v>5.3555001666666673</c:v>
                </c:pt>
                <c:pt idx="69">
                  <c:v>5.4226666666666672</c:v>
                </c:pt>
                <c:pt idx="70">
                  <c:v>5.5031665000000007</c:v>
                </c:pt>
                <c:pt idx="71">
                  <c:v>5.5836666666666668</c:v>
                </c:pt>
                <c:pt idx="72">
                  <c:v>5.6508331666666667</c:v>
                </c:pt>
                <c:pt idx="73">
                  <c:v>5.7313335000000007</c:v>
                </c:pt>
                <c:pt idx="74">
                  <c:v>5.7985000000000007</c:v>
                </c:pt>
                <c:pt idx="75">
                  <c:v>5.8789998333333333</c:v>
                </c:pt>
                <c:pt idx="76">
                  <c:v>5.9461668333333337</c:v>
                </c:pt>
                <c:pt idx="77">
                  <c:v>6.0131666666666668</c:v>
                </c:pt>
                <c:pt idx="78">
                  <c:v>6.0936668333333328</c:v>
                </c:pt>
                <c:pt idx="79">
                  <c:v>6.1608333333333327</c:v>
                </c:pt>
                <c:pt idx="80">
                  <c:v>6.2413331666666663</c:v>
                </c:pt>
                <c:pt idx="81">
                  <c:v>6.3085001666666667</c:v>
                </c:pt>
                <c:pt idx="82">
                  <c:v>6.3889999999999993</c:v>
                </c:pt>
                <c:pt idx="83">
                  <c:v>6.4561664999999993</c:v>
                </c:pt>
                <c:pt idx="84">
                  <c:v>6.5233335000000006</c:v>
                </c:pt>
                <c:pt idx="85">
                  <c:v>6.5903333333333336</c:v>
                </c:pt>
                <c:pt idx="86">
                  <c:v>6.6708334999999996</c:v>
                </c:pt>
                <c:pt idx="87">
                  <c:v>6.7380001666666667</c:v>
                </c:pt>
                <c:pt idx="88">
                  <c:v>6.8051666666666666</c:v>
                </c:pt>
                <c:pt idx="89">
                  <c:v>6.8723331666666665</c:v>
                </c:pt>
                <c:pt idx="90">
                  <c:v>6.9393333333333338</c:v>
                </c:pt>
                <c:pt idx="91">
                  <c:v>7.0064998333333337</c:v>
                </c:pt>
                <c:pt idx="92">
                  <c:v>7.0736664999999999</c:v>
                </c:pt>
                <c:pt idx="93">
                  <c:v>7.1541666666666668</c:v>
                </c:pt>
                <c:pt idx="94">
                  <c:v>7.2078331666666662</c:v>
                </c:pt>
                <c:pt idx="95">
                  <c:v>7.2883334999999994</c:v>
                </c:pt>
                <c:pt idx="96">
                  <c:v>7.3419999999999996</c:v>
                </c:pt>
                <c:pt idx="97">
                  <c:v>7.4091664999999995</c:v>
                </c:pt>
                <c:pt idx="98">
                  <c:v>7.4763335</c:v>
                </c:pt>
                <c:pt idx="99">
                  <c:v>7.5433333333333339</c:v>
                </c:pt>
                <c:pt idx="100">
                  <c:v>7.6104998333333338</c:v>
                </c:pt>
                <c:pt idx="101">
                  <c:v>7.6641668333333337</c:v>
                </c:pt>
                <c:pt idx="102">
                  <c:v>7.7313333333333336</c:v>
                </c:pt>
                <c:pt idx="103">
                  <c:v>7.7983331666666666</c:v>
                </c:pt>
                <c:pt idx="104">
                  <c:v>7.8654996666666666</c:v>
                </c:pt>
                <c:pt idx="105">
                  <c:v>7.9191661666666668</c:v>
                </c:pt>
                <c:pt idx="106">
                  <c:v>7.9863331666666664</c:v>
                </c:pt>
                <c:pt idx="107">
                  <c:v>8.0399998333333329</c:v>
                </c:pt>
                <c:pt idx="108">
                  <c:v>8.1071666666666662</c:v>
                </c:pt>
                <c:pt idx="109">
                  <c:v>8.1608333333333327</c:v>
                </c:pt>
                <c:pt idx="110">
                  <c:v>8.228000333333334</c:v>
                </c:pt>
                <c:pt idx="111">
                  <c:v>8.2816668333333343</c:v>
                </c:pt>
                <c:pt idx="112">
                  <c:v>8.3486670000000007</c:v>
                </c:pt>
                <c:pt idx="113">
                  <c:v>8.4025003333333323</c:v>
                </c:pt>
                <c:pt idx="114">
                  <c:v>8.4561668333333326</c:v>
                </c:pt>
                <c:pt idx="115">
                  <c:v>8.5231671666666671</c:v>
                </c:pt>
                <c:pt idx="116">
                  <c:v>8.5768336666666656</c:v>
                </c:pt>
                <c:pt idx="117">
                  <c:v>8.6306668333333327</c:v>
                </c:pt>
                <c:pt idx="118">
                  <c:v>8.684333333333333</c:v>
                </c:pt>
                <c:pt idx="119">
                  <c:v>8.7379999999999995</c:v>
                </c:pt>
                <c:pt idx="120">
                  <c:v>8.7916664999999998</c:v>
                </c:pt>
                <c:pt idx="121">
                  <c:v>8.8453330000000001</c:v>
                </c:pt>
                <c:pt idx="122">
                  <c:v>8.8989995000000004</c:v>
                </c:pt>
                <c:pt idx="123">
                  <c:v>8.9526669999999999</c:v>
                </c:pt>
                <c:pt idx="124">
                  <c:v>9.0065001666666653</c:v>
                </c:pt>
                <c:pt idx="125">
                  <c:v>9.0601668333333336</c:v>
                </c:pt>
                <c:pt idx="126">
                  <c:v>9.1138333333333339</c:v>
                </c:pt>
                <c:pt idx="127">
                  <c:v>9.1541669999999993</c:v>
                </c:pt>
                <c:pt idx="128">
                  <c:v>9.2078334999999996</c:v>
                </c:pt>
                <c:pt idx="129">
                  <c:v>9.2479996666666668</c:v>
                </c:pt>
                <c:pt idx="130">
                  <c:v>9.3016671666666664</c:v>
                </c:pt>
                <c:pt idx="131">
                  <c:v>9.3555003333333335</c:v>
                </c:pt>
                <c:pt idx="132">
                  <c:v>9.3956665000000008</c:v>
                </c:pt>
                <c:pt idx="133">
                  <c:v>9.4493329999999993</c:v>
                </c:pt>
                <c:pt idx="134">
                  <c:v>9.4896666666666665</c:v>
                </c:pt>
                <c:pt idx="135">
                  <c:v>9.5298336666666668</c:v>
                </c:pt>
                <c:pt idx="136">
                  <c:v>9.5701664999999991</c:v>
                </c:pt>
                <c:pt idx="137">
                  <c:v>9.6105001666666663</c:v>
                </c:pt>
                <c:pt idx="138">
                  <c:v>9.6506663333333336</c:v>
                </c:pt>
                <c:pt idx="139">
                  <c:v>9.7043336666666669</c:v>
                </c:pt>
                <c:pt idx="140">
                  <c:v>9.7446664999999992</c:v>
                </c:pt>
                <c:pt idx="141">
                  <c:v>9.7850001666666664</c:v>
                </c:pt>
                <c:pt idx="142">
                  <c:v>9.8251663333333337</c:v>
                </c:pt>
                <c:pt idx="143">
                  <c:v>9.8519994999999998</c:v>
                </c:pt>
                <c:pt idx="144">
                  <c:v>9.8923333333333332</c:v>
                </c:pt>
                <c:pt idx="145">
                  <c:v>9.9326670000000004</c:v>
                </c:pt>
                <c:pt idx="146">
                  <c:v>9.9595003333333327</c:v>
                </c:pt>
                <c:pt idx="147">
                  <c:v>9.999666333333332</c:v>
                </c:pt>
                <c:pt idx="148">
                  <c:v>10.026499666666666</c:v>
                </c:pt>
                <c:pt idx="149">
                  <c:v>10.066833333333333</c:v>
                </c:pt>
                <c:pt idx="150">
                  <c:v>10.093666666666667</c:v>
                </c:pt>
                <c:pt idx="151">
                  <c:v>10.120499833333334</c:v>
                </c:pt>
                <c:pt idx="152">
                  <c:v>10.147333166666666</c:v>
                </c:pt>
                <c:pt idx="153">
                  <c:v>10.174166333333334</c:v>
                </c:pt>
                <c:pt idx="154">
                  <c:v>10.200999666666666</c:v>
                </c:pt>
                <c:pt idx="155">
                  <c:v>10.227833</c:v>
                </c:pt>
                <c:pt idx="156">
                  <c:v>10.241333333333333</c:v>
                </c:pt>
                <c:pt idx="157">
                  <c:v>10.268166666666668</c:v>
                </c:pt>
                <c:pt idx="158">
                  <c:v>10.281500333333334</c:v>
                </c:pt>
                <c:pt idx="159">
                  <c:v>10.295</c:v>
                </c:pt>
                <c:pt idx="160">
                  <c:v>10.308500333333335</c:v>
                </c:pt>
                <c:pt idx="161">
                  <c:v>10.321833166666666</c:v>
                </c:pt>
                <c:pt idx="162">
                  <c:v>10.321833166666666</c:v>
                </c:pt>
                <c:pt idx="163">
                  <c:v>10.321833166666666</c:v>
                </c:pt>
                <c:pt idx="164">
                  <c:v>10.321833166666666</c:v>
                </c:pt>
                <c:pt idx="165">
                  <c:v>10.321833166666666</c:v>
                </c:pt>
                <c:pt idx="166">
                  <c:v>10.295</c:v>
                </c:pt>
                <c:pt idx="167">
                  <c:v>10.268166666666668</c:v>
                </c:pt>
                <c:pt idx="168">
                  <c:v>10.241333333333333</c:v>
                </c:pt>
                <c:pt idx="169">
                  <c:v>10.187666833333333</c:v>
                </c:pt>
                <c:pt idx="170">
                  <c:v>10.107167</c:v>
                </c:pt>
                <c:pt idx="171">
                  <c:v>9.9191664999999993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997-46FF-AB3B-73B9E46E61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17856"/>
        <c:axId val="100144480"/>
      </c:scatterChart>
      <c:valAx>
        <c:axId val="100117856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/>
                  <a:t>Strain, </a:t>
                </a:r>
                <a:r>
                  <a:rPr lang="el-GR" sz="1050"/>
                  <a:t>ε</a:t>
                </a:r>
                <a:endParaRPr lang="en-US" sz="1050"/>
              </a:p>
            </c:rich>
          </c:tx>
          <c:layout>
            <c:manualLayout>
              <c:xMode val="edge"/>
              <c:yMode val="edge"/>
              <c:x val="0.44270013123359575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44480"/>
        <c:crosses val="autoZero"/>
        <c:crossBetween val="midCat"/>
      </c:valAx>
      <c:valAx>
        <c:axId val="100144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Stress, σ (Mpa)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0.3096179644211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Stress</a:t>
            </a:r>
            <a:r>
              <a:rPr lang="en-US" baseline="0"/>
              <a:t> vs Strain</a:t>
            </a:r>
            <a:endParaRPr lang="en-US"/>
          </a:p>
        </c:rich>
      </c:tx>
      <c:layout>
        <c:manualLayout>
          <c:xMode val="edge"/>
          <c:yMode val="edge"/>
          <c:x val="0.4016666666666666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'0_2'!$D$3:$D$370</c:f>
              <c:numCache>
                <c:formatCode>General</c:formatCode>
                <c:ptCount val="368"/>
                <c:pt idx="0">
                  <c:v>0</c:v>
                </c:pt>
                <c:pt idx="1">
                  <c:v>7.5675675675672405E-5</c:v>
                </c:pt>
                <c:pt idx="2">
                  <c:v>1.5135135135135175E-4</c:v>
                </c:pt>
                <c:pt idx="3">
                  <c:v>2.2612612612612354E-4</c:v>
                </c:pt>
                <c:pt idx="4">
                  <c:v>3.009009009008988E-4</c:v>
                </c:pt>
                <c:pt idx="5">
                  <c:v>3.7567567567567406E-4</c:v>
                </c:pt>
                <c:pt idx="6">
                  <c:v>4.5135135135134993E-4</c:v>
                </c:pt>
                <c:pt idx="7">
                  <c:v>5.2612612612612519E-4</c:v>
                </c:pt>
                <c:pt idx="8">
                  <c:v>6.0090090090089698E-4</c:v>
                </c:pt>
                <c:pt idx="9">
                  <c:v>6.7567567567567224E-4</c:v>
                </c:pt>
                <c:pt idx="10">
                  <c:v>7.5135135135135159E-4</c:v>
                </c:pt>
                <c:pt idx="11">
                  <c:v>8.2702702702702399E-4</c:v>
                </c:pt>
                <c:pt idx="12">
                  <c:v>9.0180180180179925E-4</c:v>
                </c:pt>
                <c:pt idx="13">
                  <c:v>9.7657657657657451E-4</c:v>
                </c:pt>
                <c:pt idx="14">
                  <c:v>1.0513513513513498E-3</c:v>
                </c:pt>
                <c:pt idx="15">
                  <c:v>1.1270270270270256E-3</c:v>
                </c:pt>
                <c:pt idx="16">
                  <c:v>1.2018018018017974E-3</c:v>
                </c:pt>
                <c:pt idx="17">
                  <c:v>1.2765765765765727E-3</c:v>
                </c:pt>
                <c:pt idx="18">
                  <c:v>1.3513513513513514E-3</c:v>
                </c:pt>
                <c:pt idx="19">
                  <c:v>1.4270270270270238E-3</c:v>
                </c:pt>
                <c:pt idx="20">
                  <c:v>1.5027027027026997E-3</c:v>
                </c:pt>
                <c:pt idx="21">
                  <c:v>1.577477477477475E-3</c:v>
                </c:pt>
                <c:pt idx="22">
                  <c:v>1.6522522522522502E-3</c:v>
                </c:pt>
                <c:pt idx="23">
                  <c:v>1.7270270270270255E-3</c:v>
                </c:pt>
                <c:pt idx="24">
                  <c:v>1.8027027027027014E-3</c:v>
                </c:pt>
                <c:pt idx="25">
                  <c:v>1.8774774774774766E-3</c:v>
                </c:pt>
                <c:pt idx="26">
                  <c:v>1.9522522522522519E-3</c:v>
                </c:pt>
                <c:pt idx="27">
                  <c:v>2.0270270270270237E-3</c:v>
                </c:pt>
                <c:pt idx="28">
                  <c:v>2.1027027027026995E-3</c:v>
                </c:pt>
                <c:pt idx="29">
                  <c:v>2.1783783783783754E-3</c:v>
                </c:pt>
                <c:pt idx="30">
                  <c:v>2.2531531531531541E-3</c:v>
                </c:pt>
                <c:pt idx="31">
                  <c:v>2.3279279279279259E-3</c:v>
                </c:pt>
                <c:pt idx="32">
                  <c:v>2.4027027027027012E-3</c:v>
                </c:pt>
                <c:pt idx="33">
                  <c:v>2.4783783783783771E-3</c:v>
                </c:pt>
                <c:pt idx="34">
                  <c:v>2.5531531531531489E-3</c:v>
                </c:pt>
                <c:pt idx="35">
                  <c:v>2.6279279279279276E-3</c:v>
                </c:pt>
                <c:pt idx="36">
                  <c:v>2.7027027027026994E-3</c:v>
                </c:pt>
                <c:pt idx="37">
                  <c:v>2.7783783783783787E-3</c:v>
                </c:pt>
                <c:pt idx="38">
                  <c:v>2.8540540540540546E-3</c:v>
                </c:pt>
                <c:pt idx="39">
                  <c:v>2.9288288288288264E-3</c:v>
                </c:pt>
                <c:pt idx="40">
                  <c:v>3.0036036036036017E-3</c:v>
                </c:pt>
                <c:pt idx="41">
                  <c:v>3.0783783783783734E-3</c:v>
                </c:pt>
                <c:pt idx="42">
                  <c:v>3.1540540540540493E-3</c:v>
                </c:pt>
                <c:pt idx="43">
                  <c:v>3.228828828828828E-3</c:v>
                </c:pt>
                <c:pt idx="44">
                  <c:v>3.3036036036036033E-3</c:v>
                </c:pt>
                <c:pt idx="45">
                  <c:v>3.3783783783783751E-3</c:v>
                </c:pt>
                <c:pt idx="46">
                  <c:v>3.454054054054051E-3</c:v>
                </c:pt>
                <c:pt idx="47">
                  <c:v>3.5288288288288262E-3</c:v>
                </c:pt>
                <c:pt idx="48">
                  <c:v>3.6045045045045021E-3</c:v>
                </c:pt>
                <c:pt idx="49">
                  <c:v>3.6792792792792774E-3</c:v>
                </c:pt>
                <c:pt idx="50">
                  <c:v>3.7540540540540526E-3</c:v>
                </c:pt>
                <c:pt idx="51">
                  <c:v>3.8297297297297285E-3</c:v>
                </c:pt>
                <c:pt idx="52">
                  <c:v>3.9045045045045038E-3</c:v>
                </c:pt>
                <c:pt idx="53">
                  <c:v>3.9792792792792755E-3</c:v>
                </c:pt>
                <c:pt idx="54">
                  <c:v>4.0540540540540543E-3</c:v>
                </c:pt>
                <c:pt idx="55">
                  <c:v>4.1297297297297302E-3</c:v>
                </c:pt>
                <c:pt idx="56">
                  <c:v>4.2045045045045019E-3</c:v>
                </c:pt>
                <c:pt idx="57">
                  <c:v>4.2801801801801778E-3</c:v>
                </c:pt>
                <c:pt idx="58">
                  <c:v>4.3549549549549531E-3</c:v>
                </c:pt>
                <c:pt idx="59">
                  <c:v>4.4297297297297283E-3</c:v>
                </c:pt>
                <c:pt idx="60">
                  <c:v>4.5054054054054042E-3</c:v>
                </c:pt>
                <c:pt idx="61">
                  <c:v>4.580180180180176E-3</c:v>
                </c:pt>
                <c:pt idx="62">
                  <c:v>4.6549549549549547E-3</c:v>
                </c:pt>
                <c:pt idx="63">
                  <c:v>4.7297297297297265E-3</c:v>
                </c:pt>
                <c:pt idx="64">
                  <c:v>4.8054054054054024E-3</c:v>
                </c:pt>
                <c:pt idx="65">
                  <c:v>4.8801801801801777E-3</c:v>
                </c:pt>
                <c:pt idx="66">
                  <c:v>4.9549549549549494E-3</c:v>
                </c:pt>
                <c:pt idx="67">
                  <c:v>5.0306306306306288E-3</c:v>
                </c:pt>
                <c:pt idx="68">
                  <c:v>5.1054054054054041E-3</c:v>
                </c:pt>
                <c:pt idx="69">
                  <c:v>5.1810810810810765E-3</c:v>
                </c:pt>
                <c:pt idx="70">
                  <c:v>5.2558558558558552E-3</c:v>
                </c:pt>
                <c:pt idx="71">
                  <c:v>5.330630630630627E-3</c:v>
                </c:pt>
                <c:pt idx="72">
                  <c:v>5.4054054054054022E-3</c:v>
                </c:pt>
                <c:pt idx="73">
                  <c:v>5.4810810810810781E-3</c:v>
                </c:pt>
                <c:pt idx="74">
                  <c:v>5.5558558558558568E-3</c:v>
                </c:pt>
                <c:pt idx="75">
                  <c:v>5.6306306306306286E-3</c:v>
                </c:pt>
                <c:pt idx="76">
                  <c:v>5.7063063063063045E-3</c:v>
                </c:pt>
                <c:pt idx="77">
                  <c:v>5.7810810810810798E-3</c:v>
                </c:pt>
                <c:pt idx="78">
                  <c:v>5.8567567567567556E-3</c:v>
                </c:pt>
                <c:pt idx="79">
                  <c:v>5.9315315315315274E-3</c:v>
                </c:pt>
                <c:pt idx="80">
                  <c:v>6.0063063063063062E-3</c:v>
                </c:pt>
                <c:pt idx="81">
                  <c:v>6.0810810810810779E-3</c:v>
                </c:pt>
                <c:pt idx="82">
                  <c:v>6.1567567567567573E-3</c:v>
                </c:pt>
                <c:pt idx="83">
                  <c:v>6.2315315315315291E-3</c:v>
                </c:pt>
                <c:pt idx="84">
                  <c:v>6.3063063063063043E-3</c:v>
                </c:pt>
                <c:pt idx="85">
                  <c:v>6.3819819819819802E-3</c:v>
                </c:pt>
                <c:pt idx="86">
                  <c:v>6.456756756756752E-3</c:v>
                </c:pt>
                <c:pt idx="87">
                  <c:v>6.5324324324324279E-3</c:v>
                </c:pt>
                <c:pt idx="88">
                  <c:v>6.6072072072072066E-3</c:v>
                </c:pt>
                <c:pt idx="89">
                  <c:v>6.6819819819819819E-3</c:v>
                </c:pt>
                <c:pt idx="90">
                  <c:v>6.7567567567567537E-3</c:v>
                </c:pt>
                <c:pt idx="91">
                  <c:v>6.8324324324324295E-3</c:v>
                </c:pt>
                <c:pt idx="92">
                  <c:v>6.9072072072072048E-3</c:v>
                </c:pt>
                <c:pt idx="93">
                  <c:v>6.9819819819819801E-3</c:v>
                </c:pt>
                <c:pt idx="94">
                  <c:v>7.0576576576576525E-3</c:v>
                </c:pt>
                <c:pt idx="95">
                  <c:v>7.1324324324324312E-3</c:v>
                </c:pt>
                <c:pt idx="96">
                  <c:v>7.2081081081081071E-3</c:v>
                </c:pt>
                <c:pt idx="97">
                  <c:v>7.2828828828828823E-3</c:v>
                </c:pt>
                <c:pt idx="98">
                  <c:v>7.3576576576576541E-3</c:v>
                </c:pt>
                <c:pt idx="99">
                  <c:v>7.4324324324324328E-3</c:v>
                </c:pt>
                <c:pt idx="100">
                  <c:v>7.5081081081081052E-3</c:v>
                </c:pt>
                <c:pt idx="101">
                  <c:v>7.5828828828828805E-3</c:v>
                </c:pt>
                <c:pt idx="102">
                  <c:v>7.6576576576576558E-3</c:v>
                </c:pt>
                <c:pt idx="103">
                  <c:v>7.7333333333333316E-3</c:v>
                </c:pt>
                <c:pt idx="104">
                  <c:v>7.8081081081081069E-3</c:v>
                </c:pt>
                <c:pt idx="105">
                  <c:v>7.8837837837837828E-3</c:v>
                </c:pt>
                <c:pt idx="106">
                  <c:v>7.9585585585585546E-3</c:v>
                </c:pt>
                <c:pt idx="107">
                  <c:v>8.0333333333333333E-3</c:v>
                </c:pt>
                <c:pt idx="108">
                  <c:v>8.1081081081081051E-3</c:v>
                </c:pt>
                <c:pt idx="109">
                  <c:v>8.183783783783781E-3</c:v>
                </c:pt>
                <c:pt idx="110">
                  <c:v>8.2585585585585562E-3</c:v>
                </c:pt>
                <c:pt idx="111">
                  <c:v>8.333333333333328E-3</c:v>
                </c:pt>
                <c:pt idx="112">
                  <c:v>8.4090090090090074E-3</c:v>
                </c:pt>
                <c:pt idx="113">
                  <c:v>8.4837837837837826E-3</c:v>
                </c:pt>
                <c:pt idx="114">
                  <c:v>8.559459459459455E-3</c:v>
                </c:pt>
                <c:pt idx="115">
                  <c:v>8.6342342342342338E-3</c:v>
                </c:pt>
                <c:pt idx="116">
                  <c:v>8.7090090090090055E-3</c:v>
                </c:pt>
                <c:pt idx="117">
                  <c:v>8.7837837837837808E-3</c:v>
                </c:pt>
                <c:pt idx="118">
                  <c:v>8.8594594594594567E-3</c:v>
                </c:pt>
                <c:pt idx="119">
                  <c:v>8.9342342342342354E-3</c:v>
                </c:pt>
                <c:pt idx="120">
                  <c:v>9.0090090090090072E-3</c:v>
                </c:pt>
                <c:pt idx="121">
                  <c:v>9.0846846846846831E-3</c:v>
                </c:pt>
                <c:pt idx="122">
                  <c:v>9.1594594594594583E-3</c:v>
                </c:pt>
                <c:pt idx="123">
                  <c:v>9.2351351351351342E-3</c:v>
                </c:pt>
                <c:pt idx="124">
                  <c:v>9.309909909909906E-3</c:v>
                </c:pt>
                <c:pt idx="125">
                  <c:v>9.3846846846846813E-3</c:v>
                </c:pt>
                <c:pt idx="126">
                  <c:v>9.4594594594594565E-3</c:v>
                </c:pt>
                <c:pt idx="127">
                  <c:v>9.5351351351351359E-3</c:v>
                </c:pt>
                <c:pt idx="128">
                  <c:v>9.6099099099099076E-3</c:v>
                </c:pt>
                <c:pt idx="129">
                  <c:v>9.6846846846846829E-3</c:v>
                </c:pt>
                <c:pt idx="130">
                  <c:v>9.7603603603603588E-3</c:v>
                </c:pt>
                <c:pt idx="131">
                  <c:v>9.8351351351351306E-3</c:v>
                </c:pt>
                <c:pt idx="132">
                  <c:v>9.9108108108108064E-3</c:v>
                </c:pt>
                <c:pt idx="133">
                  <c:v>9.9855855855855852E-3</c:v>
                </c:pt>
                <c:pt idx="134">
                  <c:v>1.006036036036036E-2</c:v>
                </c:pt>
                <c:pt idx="135">
                  <c:v>1.0135135135135132E-2</c:v>
                </c:pt>
                <c:pt idx="136">
                  <c:v>1.0210810810810808E-2</c:v>
                </c:pt>
                <c:pt idx="137">
                  <c:v>1.0285585585585583E-2</c:v>
                </c:pt>
                <c:pt idx="138">
                  <c:v>1.0360360360360359E-2</c:v>
                </c:pt>
                <c:pt idx="139">
                  <c:v>1.0436036036036031E-2</c:v>
                </c:pt>
                <c:pt idx="140">
                  <c:v>1.051081081081081E-2</c:v>
                </c:pt>
                <c:pt idx="141">
                  <c:v>1.0586486486486486E-2</c:v>
                </c:pt>
                <c:pt idx="142">
                  <c:v>1.0661261261261261E-2</c:v>
                </c:pt>
                <c:pt idx="143">
                  <c:v>1.0736036036036033E-2</c:v>
                </c:pt>
                <c:pt idx="144">
                  <c:v>1.0810810810810811E-2</c:v>
                </c:pt>
                <c:pt idx="145">
                  <c:v>1.0886486486486484E-2</c:v>
                </c:pt>
                <c:pt idx="146">
                  <c:v>1.0961261261261259E-2</c:v>
                </c:pt>
                <c:pt idx="147">
                  <c:v>1.1036036036036034E-2</c:v>
                </c:pt>
                <c:pt idx="148">
                  <c:v>1.111171171171171E-2</c:v>
                </c:pt>
                <c:pt idx="149">
                  <c:v>1.1186486486486485E-2</c:v>
                </c:pt>
              </c:numCache>
            </c:numRef>
          </c:xVal>
          <c:yVal>
            <c:numRef>
              <c:f>'0_2'!$E$3:$E$370</c:f>
              <c:numCache>
                <c:formatCode>General</c:formatCode>
                <c:ptCount val="368"/>
                <c:pt idx="0">
                  <c:v>0.26833333333333337</c:v>
                </c:pt>
                <c:pt idx="1">
                  <c:v>0.32200000000000001</c:v>
                </c:pt>
                <c:pt idx="2">
                  <c:v>0.40266666666666667</c:v>
                </c:pt>
                <c:pt idx="3">
                  <c:v>0.48316666666666663</c:v>
                </c:pt>
                <c:pt idx="4">
                  <c:v>0.56366666666666665</c:v>
                </c:pt>
                <c:pt idx="5">
                  <c:v>0.65766666666666673</c:v>
                </c:pt>
                <c:pt idx="6">
                  <c:v>0.73816666666666664</c:v>
                </c:pt>
                <c:pt idx="7">
                  <c:v>0.83216666666666661</c:v>
                </c:pt>
                <c:pt idx="8">
                  <c:v>0.92600000000000005</c:v>
                </c:pt>
                <c:pt idx="9">
                  <c:v>1.0066666666666666</c:v>
                </c:pt>
                <c:pt idx="10">
                  <c:v>1.0871666666666668</c:v>
                </c:pt>
                <c:pt idx="11">
                  <c:v>1.1811666666666667</c:v>
                </c:pt>
                <c:pt idx="12">
                  <c:v>1.2749999999999999</c:v>
                </c:pt>
                <c:pt idx="13">
                  <c:v>1.3556666666666668</c:v>
                </c:pt>
                <c:pt idx="14">
                  <c:v>1.4495</c:v>
                </c:pt>
                <c:pt idx="15">
                  <c:v>1.5301666666666667</c:v>
                </c:pt>
                <c:pt idx="16">
                  <c:v>1.6239999999999999</c:v>
                </c:pt>
                <c:pt idx="17">
                  <c:v>1.7044999999999999</c:v>
                </c:pt>
                <c:pt idx="18">
                  <c:v>1.7851666666666666</c:v>
                </c:pt>
                <c:pt idx="19">
                  <c:v>1.8924999999999998</c:v>
                </c:pt>
                <c:pt idx="20">
                  <c:v>1.9729998333333334</c:v>
                </c:pt>
                <c:pt idx="21">
                  <c:v>2.0535000000000001</c:v>
                </c:pt>
                <c:pt idx="22">
                  <c:v>2.1475</c:v>
                </c:pt>
                <c:pt idx="23">
                  <c:v>2.2415000000000003</c:v>
                </c:pt>
                <c:pt idx="24">
                  <c:v>2.3220000000000001</c:v>
                </c:pt>
                <c:pt idx="25">
                  <c:v>2.4025000000000003</c:v>
                </c:pt>
                <c:pt idx="26">
                  <c:v>2.4964999999999997</c:v>
                </c:pt>
                <c:pt idx="27">
                  <c:v>2.577</c:v>
                </c:pt>
                <c:pt idx="28">
                  <c:v>2.6709999999999998</c:v>
                </c:pt>
                <c:pt idx="29">
                  <c:v>2.7515001666666667</c:v>
                </c:pt>
                <c:pt idx="30">
                  <c:v>2.8454998333333332</c:v>
                </c:pt>
                <c:pt idx="31">
                  <c:v>2.9260000000000002</c:v>
                </c:pt>
                <c:pt idx="32">
                  <c:v>3.02</c:v>
                </c:pt>
                <c:pt idx="33">
                  <c:v>3.1004999999999998</c:v>
                </c:pt>
                <c:pt idx="34">
                  <c:v>3.1944999999999997</c:v>
                </c:pt>
                <c:pt idx="35">
                  <c:v>3.2749999999999999</c:v>
                </c:pt>
                <c:pt idx="36">
                  <c:v>3.3555000000000001</c:v>
                </c:pt>
                <c:pt idx="37">
                  <c:v>3.4495</c:v>
                </c:pt>
                <c:pt idx="38">
                  <c:v>3.5300001666666665</c:v>
                </c:pt>
                <c:pt idx="39">
                  <c:v>3.6104998333333334</c:v>
                </c:pt>
                <c:pt idx="40">
                  <c:v>3.6911666666666667</c:v>
                </c:pt>
                <c:pt idx="41">
                  <c:v>3.7849999999999997</c:v>
                </c:pt>
                <c:pt idx="42">
                  <c:v>3.8656666666666668</c:v>
                </c:pt>
                <c:pt idx="43">
                  <c:v>3.9461664999999999</c:v>
                </c:pt>
                <c:pt idx="44">
                  <c:v>4.0266666666666664</c:v>
                </c:pt>
                <c:pt idx="45">
                  <c:v>4.1071664999999999</c:v>
                </c:pt>
                <c:pt idx="46">
                  <c:v>4.2011668333333336</c:v>
                </c:pt>
                <c:pt idx="47">
                  <c:v>4.2816666666666663</c:v>
                </c:pt>
                <c:pt idx="48">
                  <c:v>4.3621668333333332</c:v>
                </c:pt>
                <c:pt idx="49">
                  <c:v>4.4428333333333336</c:v>
                </c:pt>
                <c:pt idx="50">
                  <c:v>4.5233331666666663</c:v>
                </c:pt>
                <c:pt idx="51">
                  <c:v>4.6173333333333337</c:v>
                </c:pt>
                <c:pt idx="52">
                  <c:v>4.6843331666666668</c:v>
                </c:pt>
                <c:pt idx="53">
                  <c:v>4.7648334999999999</c:v>
                </c:pt>
                <c:pt idx="54">
                  <c:v>4.8455000000000004</c:v>
                </c:pt>
                <c:pt idx="55">
                  <c:v>4.9393335</c:v>
                </c:pt>
                <c:pt idx="56">
                  <c:v>5.0065</c:v>
                </c:pt>
                <c:pt idx="57">
                  <c:v>5.1004998333333331</c:v>
                </c:pt>
                <c:pt idx="58">
                  <c:v>5.1676668333333327</c:v>
                </c:pt>
                <c:pt idx="59">
                  <c:v>5.2481666666666662</c:v>
                </c:pt>
                <c:pt idx="60">
                  <c:v>5.3286668333333331</c:v>
                </c:pt>
                <c:pt idx="61">
                  <c:v>5.4091666666666667</c:v>
                </c:pt>
                <c:pt idx="62">
                  <c:v>5.4896665000000002</c:v>
                </c:pt>
                <c:pt idx="63">
                  <c:v>5.5703335000000003</c:v>
                </c:pt>
                <c:pt idx="64">
                  <c:v>5.6373333333333333</c:v>
                </c:pt>
                <c:pt idx="65">
                  <c:v>5.7178335000000002</c:v>
                </c:pt>
                <c:pt idx="66">
                  <c:v>5.7985000000000007</c:v>
                </c:pt>
                <c:pt idx="67">
                  <c:v>5.8654998333333328</c:v>
                </c:pt>
                <c:pt idx="68">
                  <c:v>5.9461668333333337</c:v>
                </c:pt>
                <c:pt idx="69">
                  <c:v>6.0266666666666673</c:v>
                </c:pt>
                <c:pt idx="70">
                  <c:v>6.0936668333333328</c:v>
                </c:pt>
                <c:pt idx="71">
                  <c:v>6.1743333333333332</c:v>
                </c:pt>
                <c:pt idx="72">
                  <c:v>6.2413331666666663</c:v>
                </c:pt>
                <c:pt idx="73">
                  <c:v>6.3220001666666672</c:v>
                </c:pt>
                <c:pt idx="74">
                  <c:v>6.3889999999999993</c:v>
                </c:pt>
                <c:pt idx="75">
                  <c:v>6.4694998333333329</c:v>
                </c:pt>
                <c:pt idx="76">
                  <c:v>6.5366668333333333</c:v>
                </c:pt>
                <c:pt idx="77">
                  <c:v>6.6171664999999997</c:v>
                </c:pt>
                <c:pt idx="78">
                  <c:v>6.6843334999999993</c:v>
                </c:pt>
                <c:pt idx="79">
                  <c:v>6.7648333333333328</c:v>
                </c:pt>
                <c:pt idx="80">
                  <c:v>6.8319998333333327</c:v>
                </c:pt>
                <c:pt idx="81">
                  <c:v>6.899166833333334</c:v>
                </c:pt>
                <c:pt idx="82">
                  <c:v>6.9796666666666658</c:v>
                </c:pt>
                <c:pt idx="83">
                  <c:v>7.0466664999999997</c:v>
                </c:pt>
                <c:pt idx="84">
                  <c:v>7.1138335000000001</c:v>
                </c:pt>
                <c:pt idx="85">
                  <c:v>7.181</c:v>
                </c:pt>
                <c:pt idx="86">
                  <c:v>7.2481665</c:v>
                </c:pt>
                <c:pt idx="87">
                  <c:v>7.3151668333333335</c:v>
                </c:pt>
                <c:pt idx="88">
                  <c:v>7.3956664999999999</c:v>
                </c:pt>
                <c:pt idx="89">
                  <c:v>7.4494998333333333</c:v>
                </c:pt>
                <c:pt idx="90">
                  <c:v>7.53</c:v>
                </c:pt>
                <c:pt idx="91">
                  <c:v>7.5969998333333333</c:v>
                </c:pt>
                <c:pt idx="92">
                  <c:v>7.6641668333333337</c:v>
                </c:pt>
                <c:pt idx="93">
                  <c:v>7.7313333333333336</c:v>
                </c:pt>
                <c:pt idx="94">
                  <c:v>7.7983331666666666</c:v>
                </c:pt>
                <c:pt idx="95">
                  <c:v>7.8521668333333334</c:v>
                </c:pt>
                <c:pt idx="96">
                  <c:v>7.9191661666666668</c:v>
                </c:pt>
                <c:pt idx="97">
                  <c:v>7.9863331666666664</c:v>
                </c:pt>
                <c:pt idx="98">
                  <c:v>8.0535001666666677</c:v>
                </c:pt>
                <c:pt idx="99">
                  <c:v>8.1071666666666662</c:v>
                </c:pt>
                <c:pt idx="100">
                  <c:v>8.1741670000000006</c:v>
                </c:pt>
                <c:pt idx="101">
                  <c:v>8.2413330000000009</c:v>
                </c:pt>
                <c:pt idx="102">
                  <c:v>8.2949996666666657</c:v>
                </c:pt>
                <c:pt idx="103">
                  <c:v>8.362166666666667</c:v>
                </c:pt>
                <c:pt idx="104">
                  <c:v>8.4158331666666673</c:v>
                </c:pt>
                <c:pt idx="105">
                  <c:v>8.4830001666666668</c:v>
                </c:pt>
                <c:pt idx="106">
                  <c:v>8.5366666666666671</c:v>
                </c:pt>
                <c:pt idx="107">
                  <c:v>8.5903331666666656</c:v>
                </c:pt>
                <c:pt idx="108">
                  <c:v>8.6439996666666676</c:v>
                </c:pt>
                <c:pt idx="109">
                  <c:v>8.6976661666666661</c:v>
                </c:pt>
                <c:pt idx="110">
                  <c:v>8.7513336666666657</c:v>
                </c:pt>
                <c:pt idx="111">
                  <c:v>8.8051670000000009</c:v>
                </c:pt>
                <c:pt idx="112">
                  <c:v>8.8588334999999994</c:v>
                </c:pt>
                <c:pt idx="113">
                  <c:v>8.9124999999999996</c:v>
                </c:pt>
                <c:pt idx="114">
                  <c:v>8.9661665000000017</c:v>
                </c:pt>
                <c:pt idx="115">
                  <c:v>9.0198330000000002</c:v>
                </c:pt>
                <c:pt idx="116">
                  <c:v>9.0734996666666667</c:v>
                </c:pt>
                <c:pt idx="117">
                  <c:v>9.1138333333333339</c:v>
                </c:pt>
                <c:pt idx="118">
                  <c:v>9.1674998333333324</c:v>
                </c:pt>
                <c:pt idx="119">
                  <c:v>9.2078334999999996</c:v>
                </c:pt>
                <c:pt idx="120">
                  <c:v>9.2615001666666679</c:v>
                </c:pt>
                <c:pt idx="121">
                  <c:v>9.3016671666666664</c:v>
                </c:pt>
                <c:pt idx="122">
                  <c:v>9.3419998333333343</c:v>
                </c:pt>
                <c:pt idx="123">
                  <c:v>9.3956665000000008</c:v>
                </c:pt>
                <c:pt idx="124">
                  <c:v>9.436000166666668</c:v>
                </c:pt>
                <c:pt idx="125">
                  <c:v>9.4761661666666672</c:v>
                </c:pt>
                <c:pt idx="126">
                  <c:v>9.5165000000000006</c:v>
                </c:pt>
                <c:pt idx="127">
                  <c:v>9.5568336666666678</c:v>
                </c:pt>
                <c:pt idx="128">
                  <c:v>9.596999666666667</c:v>
                </c:pt>
                <c:pt idx="129">
                  <c:v>9.6238329999999994</c:v>
                </c:pt>
                <c:pt idx="130">
                  <c:v>9.6641666666666666</c:v>
                </c:pt>
                <c:pt idx="131">
                  <c:v>9.6910000000000007</c:v>
                </c:pt>
                <c:pt idx="132">
                  <c:v>9.7313336666666661</c:v>
                </c:pt>
                <c:pt idx="133">
                  <c:v>9.7581669999999985</c:v>
                </c:pt>
                <c:pt idx="134">
                  <c:v>9.7850001666666664</c:v>
                </c:pt>
                <c:pt idx="135">
                  <c:v>9.8118335000000005</c:v>
                </c:pt>
                <c:pt idx="136">
                  <c:v>9.8386668333333329</c:v>
                </c:pt>
                <c:pt idx="137">
                  <c:v>9.8519994999999998</c:v>
                </c:pt>
                <c:pt idx="138">
                  <c:v>9.865499999999999</c:v>
                </c:pt>
                <c:pt idx="139">
                  <c:v>9.878833833333335</c:v>
                </c:pt>
                <c:pt idx="140">
                  <c:v>9.8923333333333332</c:v>
                </c:pt>
                <c:pt idx="141">
                  <c:v>9.9056669999999993</c:v>
                </c:pt>
                <c:pt idx="142">
                  <c:v>9.9056669999999993</c:v>
                </c:pt>
                <c:pt idx="143">
                  <c:v>9.9191664999999993</c:v>
                </c:pt>
                <c:pt idx="144">
                  <c:v>9.9191664999999993</c:v>
                </c:pt>
                <c:pt idx="145">
                  <c:v>9.9056669999999993</c:v>
                </c:pt>
                <c:pt idx="146">
                  <c:v>9.8923333333333332</c:v>
                </c:pt>
                <c:pt idx="147">
                  <c:v>9.865499999999999</c:v>
                </c:pt>
                <c:pt idx="148">
                  <c:v>9.8251663333333337</c:v>
                </c:pt>
                <c:pt idx="149">
                  <c:v>9.7446664999999992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D61-4EEF-8490-C7FDF4B5233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17856"/>
        <c:axId val="100144480"/>
      </c:scatterChart>
      <c:valAx>
        <c:axId val="10011785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/>
                  <a:t>Strain, </a:t>
                </a:r>
                <a:r>
                  <a:rPr lang="el-GR" sz="1050"/>
                  <a:t>ε</a:t>
                </a:r>
                <a:r>
                  <a:rPr lang="en-US" sz="1050"/>
                  <a:t>  </a:t>
                </a:r>
              </a:p>
            </c:rich>
          </c:tx>
          <c:layout>
            <c:manualLayout>
              <c:xMode val="edge"/>
              <c:yMode val="edge"/>
              <c:x val="0.44270013123359575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44480"/>
        <c:crosses val="autoZero"/>
        <c:crossBetween val="midCat"/>
      </c:valAx>
      <c:valAx>
        <c:axId val="100144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Stress, σ (Mpa)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0.3096179644211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Stress</a:t>
            </a:r>
            <a:r>
              <a:rPr lang="en-US" baseline="0"/>
              <a:t> vs Strain</a:t>
            </a:r>
            <a:endParaRPr lang="en-US"/>
          </a:p>
        </c:rich>
      </c:tx>
      <c:layout>
        <c:manualLayout>
          <c:xMode val="edge"/>
          <c:yMode val="edge"/>
          <c:x val="0.4016666666666666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'0_3'!$D$3:$D$538</c:f>
              <c:numCache>
                <c:formatCode>General</c:formatCode>
                <c:ptCount val="536"/>
                <c:pt idx="0">
                  <c:v>0</c:v>
                </c:pt>
                <c:pt idx="1">
                  <c:v>7.4774774774747504E-5</c:v>
                </c:pt>
                <c:pt idx="2">
                  <c:v>1.4954954954952276E-4</c:v>
                </c:pt>
                <c:pt idx="3">
                  <c:v>2.2522522522519864E-4</c:v>
                </c:pt>
                <c:pt idx="4">
                  <c:v>2.999999999999739E-4</c:v>
                </c:pt>
                <c:pt idx="5">
                  <c:v>3.7477477477474916E-4</c:v>
                </c:pt>
                <c:pt idx="6">
                  <c:v>4.5045045045042503E-4</c:v>
                </c:pt>
                <c:pt idx="7">
                  <c:v>5.2522522522519682E-4</c:v>
                </c:pt>
                <c:pt idx="8">
                  <c:v>6.009009009008727E-4</c:v>
                </c:pt>
                <c:pt idx="9">
                  <c:v>6.7567567567565143E-4</c:v>
                </c:pt>
                <c:pt idx="10">
                  <c:v>7.5045045045042322E-4</c:v>
                </c:pt>
                <c:pt idx="11">
                  <c:v>8.2522522522519848E-4</c:v>
                </c:pt>
                <c:pt idx="12">
                  <c:v>9.0090090090087435E-4</c:v>
                </c:pt>
                <c:pt idx="13">
                  <c:v>9.7567567567564614E-4</c:v>
                </c:pt>
                <c:pt idx="14">
                  <c:v>1.0504504504504249E-3</c:v>
                </c:pt>
                <c:pt idx="15">
                  <c:v>1.1261261261260973E-3</c:v>
                </c:pt>
                <c:pt idx="16">
                  <c:v>1.200900900900876E-3</c:v>
                </c:pt>
                <c:pt idx="17">
                  <c:v>1.2765765765765519E-3</c:v>
                </c:pt>
                <c:pt idx="18">
                  <c:v>1.3513513513513237E-3</c:v>
                </c:pt>
                <c:pt idx="19">
                  <c:v>1.4261261261260989E-3</c:v>
                </c:pt>
                <c:pt idx="20">
                  <c:v>1.5009009009008707E-3</c:v>
                </c:pt>
                <c:pt idx="21">
                  <c:v>1.5765765765765466E-3</c:v>
                </c:pt>
                <c:pt idx="22">
                  <c:v>1.6513513513513253E-3</c:v>
                </c:pt>
                <c:pt idx="23">
                  <c:v>1.7261261261261006E-3</c:v>
                </c:pt>
                <c:pt idx="24">
                  <c:v>1.8018018018017765E-3</c:v>
                </c:pt>
                <c:pt idx="25">
                  <c:v>1.8765765765765482E-3</c:v>
                </c:pt>
                <c:pt idx="26">
                  <c:v>1.9513513513513235E-3</c:v>
                </c:pt>
                <c:pt idx="27">
                  <c:v>2.0270270270269994E-3</c:v>
                </c:pt>
                <c:pt idx="28">
                  <c:v>2.1018018018017746E-3</c:v>
                </c:pt>
                <c:pt idx="29">
                  <c:v>2.1765765765765499E-3</c:v>
                </c:pt>
                <c:pt idx="30">
                  <c:v>2.2522522522522258E-3</c:v>
                </c:pt>
                <c:pt idx="31">
                  <c:v>2.327027027027001E-3</c:v>
                </c:pt>
                <c:pt idx="32">
                  <c:v>2.4018018018017728E-3</c:v>
                </c:pt>
                <c:pt idx="33">
                  <c:v>2.4774774774774487E-3</c:v>
                </c:pt>
                <c:pt idx="34">
                  <c:v>2.5522522522522274E-3</c:v>
                </c:pt>
                <c:pt idx="35">
                  <c:v>2.6270270270269992E-3</c:v>
                </c:pt>
                <c:pt idx="36">
                  <c:v>2.7027027027026751E-3</c:v>
                </c:pt>
                <c:pt idx="37">
                  <c:v>2.7774774774774504E-3</c:v>
                </c:pt>
                <c:pt idx="38">
                  <c:v>2.8522522522522256E-3</c:v>
                </c:pt>
                <c:pt idx="39">
                  <c:v>2.9279279279279015E-3</c:v>
                </c:pt>
                <c:pt idx="40">
                  <c:v>3.0027027027026733E-3</c:v>
                </c:pt>
                <c:pt idx="41">
                  <c:v>3.077477477477452E-3</c:v>
                </c:pt>
                <c:pt idx="42">
                  <c:v>3.1531531531531279E-3</c:v>
                </c:pt>
                <c:pt idx="43">
                  <c:v>3.2279279279278997E-3</c:v>
                </c:pt>
                <c:pt idx="44">
                  <c:v>3.3027027027026749E-3</c:v>
                </c:pt>
                <c:pt idx="45">
                  <c:v>3.3774774774774467E-3</c:v>
                </c:pt>
                <c:pt idx="46">
                  <c:v>3.4531531531531261E-3</c:v>
                </c:pt>
                <c:pt idx="47">
                  <c:v>3.5279279279279013E-3</c:v>
                </c:pt>
                <c:pt idx="48">
                  <c:v>3.6036036036035737E-3</c:v>
                </c:pt>
                <c:pt idx="49">
                  <c:v>3.6783783783783525E-3</c:v>
                </c:pt>
                <c:pt idx="50">
                  <c:v>3.7531531531531243E-3</c:v>
                </c:pt>
                <c:pt idx="51">
                  <c:v>3.8288288288288001E-3</c:v>
                </c:pt>
                <c:pt idx="52">
                  <c:v>3.9036036036035754E-3</c:v>
                </c:pt>
                <c:pt idx="53">
                  <c:v>3.9783783783783541E-3</c:v>
                </c:pt>
                <c:pt idx="54">
                  <c:v>4.0531531531531259E-3</c:v>
                </c:pt>
                <c:pt idx="55">
                  <c:v>4.1288288288288018E-3</c:v>
                </c:pt>
                <c:pt idx="56">
                  <c:v>4.203603603603577E-3</c:v>
                </c:pt>
                <c:pt idx="57">
                  <c:v>4.2792792792792529E-3</c:v>
                </c:pt>
                <c:pt idx="58">
                  <c:v>4.3540540540540247E-3</c:v>
                </c:pt>
                <c:pt idx="59">
                  <c:v>4.4288288288288034E-3</c:v>
                </c:pt>
                <c:pt idx="60">
                  <c:v>4.5045045045044758E-3</c:v>
                </c:pt>
                <c:pt idx="61">
                  <c:v>4.5792792792792546E-3</c:v>
                </c:pt>
                <c:pt idx="62">
                  <c:v>4.6540540540540264E-3</c:v>
                </c:pt>
                <c:pt idx="63">
                  <c:v>4.7288288288288016E-3</c:v>
                </c:pt>
                <c:pt idx="64">
                  <c:v>4.8045045045044775E-3</c:v>
                </c:pt>
                <c:pt idx="65">
                  <c:v>4.8792792792792493E-3</c:v>
                </c:pt>
                <c:pt idx="66">
                  <c:v>4.9549549549549252E-3</c:v>
                </c:pt>
                <c:pt idx="67">
                  <c:v>5.0297297297297039E-3</c:v>
                </c:pt>
                <c:pt idx="68">
                  <c:v>5.1045045045044792E-3</c:v>
                </c:pt>
                <c:pt idx="69">
                  <c:v>5.180180180180155E-3</c:v>
                </c:pt>
                <c:pt idx="70">
                  <c:v>5.2549549549549268E-3</c:v>
                </c:pt>
                <c:pt idx="71">
                  <c:v>5.3297297297297021E-3</c:v>
                </c:pt>
                <c:pt idx="72">
                  <c:v>5.4045045045044773E-3</c:v>
                </c:pt>
                <c:pt idx="73">
                  <c:v>5.4801801801801497E-3</c:v>
                </c:pt>
                <c:pt idx="74">
                  <c:v>5.5549549549549285E-3</c:v>
                </c:pt>
                <c:pt idx="75">
                  <c:v>5.6306306306306043E-3</c:v>
                </c:pt>
                <c:pt idx="76">
                  <c:v>5.7054054054053796E-3</c:v>
                </c:pt>
                <c:pt idx="77">
                  <c:v>5.7801801801801514E-3</c:v>
                </c:pt>
                <c:pt idx="78">
                  <c:v>5.8558558558558273E-3</c:v>
                </c:pt>
                <c:pt idx="79">
                  <c:v>5.9306306306306025E-3</c:v>
                </c:pt>
                <c:pt idx="80">
                  <c:v>6.0054054054053778E-3</c:v>
                </c:pt>
                <c:pt idx="81">
                  <c:v>6.080180180180153E-3</c:v>
                </c:pt>
                <c:pt idx="82">
                  <c:v>6.1558558558558289E-3</c:v>
                </c:pt>
                <c:pt idx="83">
                  <c:v>6.2306306306306042E-3</c:v>
                </c:pt>
                <c:pt idx="84">
                  <c:v>6.3063063063062801E-3</c:v>
                </c:pt>
                <c:pt idx="85">
                  <c:v>6.3810810810810518E-3</c:v>
                </c:pt>
                <c:pt idx="86">
                  <c:v>6.4558558558558306E-3</c:v>
                </c:pt>
                <c:pt idx="87">
                  <c:v>6.5315315315315065E-3</c:v>
                </c:pt>
                <c:pt idx="88">
                  <c:v>6.6063063063062782E-3</c:v>
                </c:pt>
                <c:pt idx="89">
                  <c:v>6.6810810810810535E-3</c:v>
                </c:pt>
                <c:pt idx="90">
                  <c:v>6.7558558558558253E-3</c:v>
                </c:pt>
                <c:pt idx="91">
                  <c:v>6.8315315315315046E-3</c:v>
                </c:pt>
                <c:pt idx="92">
                  <c:v>6.9063063063062799E-3</c:v>
                </c:pt>
                <c:pt idx="93">
                  <c:v>6.9819819819819523E-3</c:v>
                </c:pt>
                <c:pt idx="94">
                  <c:v>7.056756756756731E-3</c:v>
                </c:pt>
                <c:pt idx="95">
                  <c:v>7.1315315315315028E-3</c:v>
                </c:pt>
                <c:pt idx="96">
                  <c:v>7.2072072072071787E-3</c:v>
                </c:pt>
                <c:pt idx="97">
                  <c:v>7.281981981981954E-3</c:v>
                </c:pt>
                <c:pt idx="98">
                  <c:v>7.3567567567567327E-3</c:v>
                </c:pt>
                <c:pt idx="99">
                  <c:v>7.4315315315315045E-3</c:v>
                </c:pt>
                <c:pt idx="100">
                  <c:v>7.5072072072071803E-3</c:v>
                </c:pt>
                <c:pt idx="101">
                  <c:v>7.5819819819819556E-3</c:v>
                </c:pt>
                <c:pt idx="102">
                  <c:v>7.6576576576576315E-3</c:v>
                </c:pt>
                <c:pt idx="103">
                  <c:v>7.7324324324324033E-3</c:v>
                </c:pt>
                <c:pt idx="104">
                  <c:v>7.8072072072071785E-3</c:v>
                </c:pt>
                <c:pt idx="105">
                  <c:v>7.8828828828828544E-3</c:v>
                </c:pt>
                <c:pt idx="106">
                  <c:v>7.9576576576576331E-3</c:v>
                </c:pt>
                <c:pt idx="107">
                  <c:v>8.0324324324324049E-3</c:v>
                </c:pt>
                <c:pt idx="108">
                  <c:v>8.1072072072071802E-3</c:v>
                </c:pt>
                <c:pt idx="109">
                  <c:v>8.1828828828828561E-3</c:v>
                </c:pt>
                <c:pt idx="110">
                  <c:v>8.2576576576576279E-3</c:v>
                </c:pt>
                <c:pt idx="111">
                  <c:v>8.3333333333333037E-3</c:v>
                </c:pt>
                <c:pt idx="112">
                  <c:v>8.4081081081080825E-3</c:v>
                </c:pt>
                <c:pt idx="113">
                  <c:v>8.4828828828828577E-3</c:v>
                </c:pt>
                <c:pt idx="114">
                  <c:v>8.5585585585585336E-3</c:v>
                </c:pt>
                <c:pt idx="115">
                  <c:v>8.6333333333333054E-3</c:v>
                </c:pt>
                <c:pt idx="116">
                  <c:v>8.7081081081080806E-3</c:v>
                </c:pt>
                <c:pt idx="117">
                  <c:v>8.7828828828828559E-3</c:v>
                </c:pt>
                <c:pt idx="118">
                  <c:v>8.8585585585585283E-3</c:v>
                </c:pt>
                <c:pt idx="119">
                  <c:v>8.933333333333307E-3</c:v>
                </c:pt>
                <c:pt idx="120">
                  <c:v>9.0090090090089829E-3</c:v>
                </c:pt>
                <c:pt idx="121">
                  <c:v>9.0837837837837582E-3</c:v>
                </c:pt>
                <c:pt idx="122">
                  <c:v>9.15855855855853E-3</c:v>
                </c:pt>
                <c:pt idx="123">
                  <c:v>9.2342342342342058E-3</c:v>
                </c:pt>
                <c:pt idx="124">
                  <c:v>9.3090090090089811E-3</c:v>
                </c:pt>
                <c:pt idx="125">
                  <c:v>9.3837837837837564E-3</c:v>
                </c:pt>
                <c:pt idx="126">
                  <c:v>9.4585585585585316E-3</c:v>
                </c:pt>
                <c:pt idx="127">
                  <c:v>9.5342342342342075E-3</c:v>
                </c:pt>
                <c:pt idx="128">
                  <c:v>9.6090090090089827E-3</c:v>
                </c:pt>
                <c:pt idx="129">
                  <c:v>9.6837837837837545E-3</c:v>
                </c:pt>
                <c:pt idx="130">
                  <c:v>9.7594594594594304E-3</c:v>
                </c:pt>
                <c:pt idx="131">
                  <c:v>9.8342342342342091E-3</c:v>
                </c:pt>
                <c:pt idx="132">
                  <c:v>9.909909909909885E-3</c:v>
                </c:pt>
                <c:pt idx="133">
                  <c:v>9.9846846846846568E-3</c:v>
                </c:pt>
                <c:pt idx="134">
                  <c:v>1.0059459459459432E-2</c:v>
                </c:pt>
                <c:pt idx="135">
                  <c:v>1.0134234234234204E-2</c:v>
                </c:pt>
                <c:pt idx="136">
                  <c:v>1.0209909909909883E-2</c:v>
                </c:pt>
                <c:pt idx="137">
                  <c:v>1.0284684684684658E-2</c:v>
                </c:pt>
                <c:pt idx="138">
                  <c:v>1.0359459459459434E-2</c:v>
                </c:pt>
                <c:pt idx="139">
                  <c:v>1.043513513513511E-2</c:v>
                </c:pt>
                <c:pt idx="140">
                  <c:v>1.0509909909909881E-2</c:v>
                </c:pt>
                <c:pt idx="141">
                  <c:v>1.0585585585585557E-2</c:v>
                </c:pt>
                <c:pt idx="142">
                  <c:v>1.0660360360360333E-2</c:v>
                </c:pt>
                <c:pt idx="143">
                  <c:v>1.0735135135135111E-2</c:v>
                </c:pt>
                <c:pt idx="144">
                  <c:v>1.0809909909909883E-2</c:v>
                </c:pt>
                <c:pt idx="145">
                  <c:v>1.0885585585585559E-2</c:v>
                </c:pt>
                <c:pt idx="146">
                  <c:v>1.0960360360360334E-2</c:v>
                </c:pt>
                <c:pt idx="147">
                  <c:v>1.1035135135135106E-2</c:v>
                </c:pt>
                <c:pt idx="148">
                  <c:v>1.1110810810810782E-2</c:v>
                </c:pt>
                <c:pt idx="149">
                  <c:v>1.1185585585585557E-2</c:v>
                </c:pt>
                <c:pt idx="150">
                  <c:v>1.1261261261261233E-2</c:v>
                </c:pt>
                <c:pt idx="151">
                  <c:v>1.1336036036036012E-2</c:v>
                </c:pt>
                <c:pt idx="152">
                  <c:v>1.1410810810810783E-2</c:v>
                </c:pt>
                <c:pt idx="153">
                  <c:v>1.1485585585585559E-2</c:v>
                </c:pt>
                <c:pt idx="154">
                  <c:v>1.1561261261261235E-2</c:v>
                </c:pt>
                <c:pt idx="155">
                  <c:v>1.1636036036036006E-2</c:v>
                </c:pt>
                <c:pt idx="156">
                  <c:v>1.1710810810810785E-2</c:v>
                </c:pt>
                <c:pt idx="157">
                  <c:v>1.1786486486486458E-2</c:v>
                </c:pt>
                <c:pt idx="158">
                  <c:v>1.1861261261261236E-2</c:v>
                </c:pt>
                <c:pt idx="159">
                  <c:v>1.1936936936936912E-2</c:v>
                </c:pt>
                <c:pt idx="160">
                  <c:v>1.2011711711711684E-2</c:v>
                </c:pt>
                <c:pt idx="161">
                  <c:v>1.2086486486486459E-2</c:v>
                </c:pt>
                <c:pt idx="162">
                  <c:v>1.2161261261261234E-2</c:v>
                </c:pt>
                <c:pt idx="163">
                  <c:v>1.2236936936936907E-2</c:v>
                </c:pt>
                <c:pt idx="164">
                  <c:v>1.2311711711711686E-2</c:v>
                </c:pt>
                <c:pt idx="165">
                  <c:v>1.2386486486486457E-2</c:v>
                </c:pt>
                <c:pt idx="166">
                  <c:v>1.2462162162162137E-2</c:v>
                </c:pt>
                <c:pt idx="167">
                  <c:v>1.2536936936936909E-2</c:v>
                </c:pt>
                <c:pt idx="168">
                  <c:v>1.2612612612612584E-2</c:v>
                </c:pt>
                <c:pt idx="169">
                  <c:v>1.268738738738736E-2</c:v>
                </c:pt>
                <c:pt idx="170">
                  <c:v>1.2762162162162135E-2</c:v>
                </c:pt>
                <c:pt idx="171">
                  <c:v>1.283693693693691E-2</c:v>
                </c:pt>
                <c:pt idx="172">
                  <c:v>1.2912612612612586E-2</c:v>
                </c:pt>
                <c:pt idx="173">
                  <c:v>1.2987387387387361E-2</c:v>
                </c:pt>
                <c:pt idx="174">
                  <c:v>1.3062162162162133E-2</c:v>
                </c:pt>
                <c:pt idx="175">
                  <c:v>1.3137837837837809E-2</c:v>
                </c:pt>
                <c:pt idx="176">
                  <c:v>1.3212612612612588E-2</c:v>
                </c:pt>
                <c:pt idx="177">
                  <c:v>1.328828828828826E-2</c:v>
                </c:pt>
                <c:pt idx="178">
                  <c:v>1.3363063063063035E-2</c:v>
                </c:pt>
                <c:pt idx="179">
                  <c:v>1.3437837837837811E-2</c:v>
                </c:pt>
                <c:pt idx="180">
                  <c:v>1.3512612612612582E-2</c:v>
                </c:pt>
                <c:pt idx="181">
                  <c:v>1.3588288288288262E-2</c:v>
                </c:pt>
                <c:pt idx="182">
                  <c:v>1.3663063063063034E-2</c:v>
                </c:pt>
                <c:pt idx="183">
                  <c:v>1.3737837837837812E-2</c:v>
                </c:pt>
                <c:pt idx="184">
                  <c:v>1.3813513513513485E-2</c:v>
                </c:pt>
                <c:pt idx="185">
                  <c:v>1.3888288288288256E-2</c:v>
                </c:pt>
                <c:pt idx="186">
                  <c:v>1.3963963963963936E-2</c:v>
                </c:pt>
                <c:pt idx="187">
                  <c:v>1.4038738738738715E-2</c:v>
                </c:pt>
                <c:pt idx="188">
                  <c:v>1.4113513513513486E-2</c:v>
                </c:pt>
                <c:pt idx="189">
                  <c:v>1.4188288288288258E-2</c:v>
                </c:pt>
                <c:pt idx="190">
                  <c:v>1.4263063063063037E-2</c:v>
                </c:pt>
                <c:pt idx="191">
                  <c:v>1.4338738738738709E-2</c:v>
                </c:pt>
                <c:pt idx="192">
                  <c:v>1.4413513513513488E-2</c:v>
                </c:pt>
                <c:pt idx="193">
                  <c:v>1.448918918918916E-2</c:v>
                </c:pt>
                <c:pt idx="194">
                  <c:v>1.4563063063063032E-2</c:v>
                </c:pt>
                <c:pt idx="195">
                  <c:v>1.4638738738738711E-2</c:v>
                </c:pt>
                <c:pt idx="196">
                  <c:v>1.471441441441439E-2</c:v>
                </c:pt>
                <c:pt idx="197">
                  <c:v>1.4789189189189162E-2</c:v>
                </c:pt>
                <c:pt idx="198">
                  <c:v>1.4863963963963941E-2</c:v>
                </c:pt>
                <c:pt idx="199">
                  <c:v>1.4938738738738713E-2</c:v>
                </c:pt>
                <c:pt idx="200">
                  <c:v>1.5014414414414385E-2</c:v>
                </c:pt>
                <c:pt idx="201">
                  <c:v>1.5089189189189164E-2</c:v>
                </c:pt>
                <c:pt idx="202">
                  <c:v>1.5164864864864836E-2</c:v>
                </c:pt>
                <c:pt idx="203">
                  <c:v>1.5238738738738714E-2</c:v>
                </c:pt>
                <c:pt idx="204">
                  <c:v>1.5314414414414387E-2</c:v>
                </c:pt>
                <c:pt idx="205">
                  <c:v>1.5390090090090059E-2</c:v>
                </c:pt>
                <c:pt idx="206">
                  <c:v>1.5464864864864838E-2</c:v>
                </c:pt>
                <c:pt idx="207">
                  <c:v>1.553963963963961E-2</c:v>
                </c:pt>
                <c:pt idx="208">
                  <c:v>1.5614414414414388E-2</c:v>
                </c:pt>
                <c:pt idx="209">
                  <c:v>1.5690090090090061E-2</c:v>
                </c:pt>
                <c:pt idx="210">
                  <c:v>1.5764864864864832E-2</c:v>
                </c:pt>
                <c:pt idx="211">
                  <c:v>1.5840540540540512E-2</c:v>
                </c:pt>
                <c:pt idx="212">
                  <c:v>1.591441441441439E-2</c:v>
                </c:pt>
                <c:pt idx="213">
                  <c:v>1.5990090090090062E-2</c:v>
                </c:pt>
                <c:pt idx="214">
                  <c:v>1.6065765765765742E-2</c:v>
                </c:pt>
              </c:numCache>
            </c:numRef>
          </c:xVal>
          <c:yVal>
            <c:numRef>
              <c:f>'0_3'!$E$3:$E$538</c:f>
              <c:numCache>
                <c:formatCode>General</c:formatCode>
                <c:ptCount val="536"/>
                <c:pt idx="0">
                  <c:v>1.7315</c:v>
                </c:pt>
                <c:pt idx="1">
                  <c:v>1.7851666666666666</c:v>
                </c:pt>
                <c:pt idx="2">
                  <c:v>1.8521666666666665</c:v>
                </c:pt>
                <c:pt idx="3">
                  <c:v>1.9193333333333333</c:v>
                </c:pt>
                <c:pt idx="4">
                  <c:v>1.9865001666666666</c:v>
                </c:pt>
                <c:pt idx="5">
                  <c:v>2.0669998333333335</c:v>
                </c:pt>
                <c:pt idx="6">
                  <c:v>2.1206666666666667</c:v>
                </c:pt>
                <c:pt idx="7">
                  <c:v>2.2011666666666665</c:v>
                </c:pt>
                <c:pt idx="8">
                  <c:v>2.2683331666666664</c:v>
                </c:pt>
                <c:pt idx="9">
                  <c:v>2.3355000000000001</c:v>
                </c:pt>
                <c:pt idx="10">
                  <c:v>2.4025000000000003</c:v>
                </c:pt>
                <c:pt idx="11">
                  <c:v>2.4831668333333337</c:v>
                </c:pt>
                <c:pt idx="12">
                  <c:v>2.5501665</c:v>
                </c:pt>
                <c:pt idx="13">
                  <c:v>2.6306666666666669</c:v>
                </c:pt>
                <c:pt idx="14">
                  <c:v>2.6978333333333335</c:v>
                </c:pt>
                <c:pt idx="15">
                  <c:v>2.7650001666666668</c:v>
                </c:pt>
                <c:pt idx="16">
                  <c:v>2.8454998333333332</c:v>
                </c:pt>
                <c:pt idx="17">
                  <c:v>2.9126666666666665</c:v>
                </c:pt>
                <c:pt idx="18">
                  <c:v>2.9931666666666668</c:v>
                </c:pt>
                <c:pt idx="19">
                  <c:v>3.0603335</c:v>
                </c:pt>
                <c:pt idx="20">
                  <c:v>3.1408331666666669</c:v>
                </c:pt>
                <c:pt idx="21">
                  <c:v>3.2078333333333333</c:v>
                </c:pt>
                <c:pt idx="22">
                  <c:v>3.2749999999999999</c:v>
                </c:pt>
                <c:pt idx="23">
                  <c:v>3.3555000000000001</c:v>
                </c:pt>
                <c:pt idx="24">
                  <c:v>3.4226665000000001</c:v>
                </c:pt>
                <c:pt idx="25">
                  <c:v>3.5031666666666665</c:v>
                </c:pt>
                <c:pt idx="26">
                  <c:v>3.5703333333333331</c:v>
                </c:pt>
                <c:pt idx="27">
                  <c:v>3.6375001666666669</c:v>
                </c:pt>
                <c:pt idx="28">
                  <c:v>3.7179998333333333</c:v>
                </c:pt>
                <c:pt idx="29">
                  <c:v>3.7849999999999997</c:v>
                </c:pt>
                <c:pt idx="30">
                  <c:v>3.8521666666666667</c:v>
                </c:pt>
                <c:pt idx="31">
                  <c:v>3.9326665000000003</c:v>
                </c:pt>
                <c:pt idx="32">
                  <c:v>3.9998335000000003</c:v>
                </c:pt>
                <c:pt idx="33">
                  <c:v>4.0803333333333329</c:v>
                </c:pt>
                <c:pt idx="34">
                  <c:v>4.1474998333333328</c:v>
                </c:pt>
                <c:pt idx="35">
                  <c:v>4.2146668333333333</c:v>
                </c:pt>
                <c:pt idx="36">
                  <c:v>4.2951664999999997</c:v>
                </c:pt>
                <c:pt idx="37">
                  <c:v>4.3621668333333332</c:v>
                </c:pt>
                <c:pt idx="38">
                  <c:v>4.4293333333333331</c:v>
                </c:pt>
                <c:pt idx="39">
                  <c:v>4.5098331666666667</c:v>
                </c:pt>
                <c:pt idx="40">
                  <c:v>4.5770001666666662</c:v>
                </c:pt>
                <c:pt idx="41">
                  <c:v>4.6441666666666661</c:v>
                </c:pt>
                <c:pt idx="42">
                  <c:v>4.7111665</c:v>
                </c:pt>
                <c:pt idx="43">
                  <c:v>4.7918335000000001</c:v>
                </c:pt>
                <c:pt idx="44">
                  <c:v>4.8588333333333331</c:v>
                </c:pt>
                <c:pt idx="45">
                  <c:v>4.9393335</c:v>
                </c:pt>
                <c:pt idx="46">
                  <c:v>5.0065</c:v>
                </c:pt>
                <c:pt idx="47">
                  <c:v>5.0736664999999999</c:v>
                </c:pt>
                <c:pt idx="48">
                  <c:v>5.1406668333333325</c:v>
                </c:pt>
                <c:pt idx="49">
                  <c:v>5.2078333333333342</c:v>
                </c:pt>
                <c:pt idx="50">
                  <c:v>5.288333166666666</c:v>
                </c:pt>
                <c:pt idx="51">
                  <c:v>5.3555001666666673</c:v>
                </c:pt>
                <c:pt idx="52">
                  <c:v>5.4226666666666672</c:v>
                </c:pt>
                <c:pt idx="53">
                  <c:v>5.4896665000000002</c:v>
                </c:pt>
                <c:pt idx="54">
                  <c:v>5.5568334999999998</c:v>
                </c:pt>
                <c:pt idx="55">
                  <c:v>5.6373333333333333</c:v>
                </c:pt>
                <c:pt idx="56">
                  <c:v>5.6909998333333336</c:v>
                </c:pt>
                <c:pt idx="57">
                  <c:v>5.7716668333333327</c:v>
                </c:pt>
                <c:pt idx="58">
                  <c:v>5.8386665000000004</c:v>
                </c:pt>
                <c:pt idx="59">
                  <c:v>5.9193334999999996</c:v>
                </c:pt>
                <c:pt idx="60">
                  <c:v>5.9863333333333335</c:v>
                </c:pt>
                <c:pt idx="61">
                  <c:v>6.0534998333333334</c:v>
                </c:pt>
                <c:pt idx="62">
                  <c:v>6.1206668333333329</c:v>
                </c:pt>
                <c:pt idx="63">
                  <c:v>6.1876666666666669</c:v>
                </c:pt>
                <c:pt idx="64">
                  <c:v>6.2681665000000004</c:v>
                </c:pt>
                <c:pt idx="65">
                  <c:v>6.3353335</c:v>
                </c:pt>
                <c:pt idx="66">
                  <c:v>6.4024999999999999</c:v>
                </c:pt>
                <c:pt idx="67">
                  <c:v>6.4694998333333329</c:v>
                </c:pt>
                <c:pt idx="68">
                  <c:v>6.5366668333333333</c:v>
                </c:pt>
                <c:pt idx="69">
                  <c:v>6.6038333333333332</c:v>
                </c:pt>
                <c:pt idx="70">
                  <c:v>6.6843334999999993</c:v>
                </c:pt>
                <c:pt idx="71">
                  <c:v>6.7514999999999992</c:v>
                </c:pt>
                <c:pt idx="72">
                  <c:v>6.8184998333333331</c:v>
                </c:pt>
                <c:pt idx="73">
                  <c:v>6.8856668333333335</c:v>
                </c:pt>
                <c:pt idx="74">
                  <c:v>6.9528333333333334</c:v>
                </c:pt>
                <c:pt idx="75">
                  <c:v>7.0198331666666673</c:v>
                </c:pt>
                <c:pt idx="76">
                  <c:v>7.0870001666666669</c:v>
                </c:pt>
                <c:pt idx="77">
                  <c:v>7.1541666666666668</c:v>
                </c:pt>
                <c:pt idx="78">
                  <c:v>7.2211664999999998</c:v>
                </c:pt>
                <c:pt idx="79">
                  <c:v>7.2883334999999994</c:v>
                </c:pt>
                <c:pt idx="80">
                  <c:v>7.3555000000000001</c:v>
                </c:pt>
                <c:pt idx="81">
                  <c:v>7.4224998333333332</c:v>
                </c:pt>
                <c:pt idx="82">
                  <c:v>7.4896668333333336</c:v>
                </c:pt>
                <c:pt idx="83">
                  <c:v>7.5433333333333339</c:v>
                </c:pt>
                <c:pt idx="84">
                  <c:v>7.6104998333333338</c:v>
                </c:pt>
                <c:pt idx="85">
                  <c:v>7.6776668333333333</c:v>
                </c:pt>
                <c:pt idx="86">
                  <c:v>7.7446666666666664</c:v>
                </c:pt>
                <c:pt idx="87">
                  <c:v>7.7983331666666666</c:v>
                </c:pt>
                <c:pt idx="88">
                  <c:v>7.8654996666666666</c:v>
                </c:pt>
                <c:pt idx="89">
                  <c:v>7.9326666666666661</c:v>
                </c:pt>
                <c:pt idx="90">
                  <c:v>7.9863331666666664</c:v>
                </c:pt>
                <c:pt idx="91">
                  <c:v>8.0535001666666677</c:v>
                </c:pt>
                <c:pt idx="92">
                  <c:v>8.1204994999999993</c:v>
                </c:pt>
                <c:pt idx="93">
                  <c:v>8.1876665000000006</c:v>
                </c:pt>
                <c:pt idx="94">
                  <c:v>8.2413330000000009</c:v>
                </c:pt>
                <c:pt idx="95">
                  <c:v>8.2949996666666657</c:v>
                </c:pt>
                <c:pt idx="96">
                  <c:v>8.362166666666667</c:v>
                </c:pt>
                <c:pt idx="97">
                  <c:v>8.4158331666666673</c:v>
                </c:pt>
                <c:pt idx="98">
                  <c:v>8.4830001666666668</c:v>
                </c:pt>
                <c:pt idx="99">
                  <c:v>8.5500003333333332</c:v>
                </c:pt>
                <c:pt idx="100">
                  <c:v>8.6038336666666666</c:v>
                </c:pt>
                <c:pt idx="101">
                  <c:v>8.6575001666666669</c:v>
                </c:pt>
                <c:pt idx="102">
                  <c:v>8.7111666666666654</c:v>
                </c:pt>
                <c:pt idx="103">
                  <c:v>8.7783336666666667</c:v>
                </c:pt>
                <c:pt idx="104">
                  <c:v>8.832000166666667</c:v>
                </c:pt>
                <c:pt idx="105">
                  <c:v>8.8989995000000004</c:v>
                </c:pt>
                <c:pt idx="106">
                  <c:v>8.9526669999999999</c:v>
                </c:pt>
                <c:pt idx="107">
                  <c:v>9.0065001666666653</c:v>
                </c:pt>
                <c:pt idx="108">
                  <c:v>9.0601668333333336</c:v>
                </c:pt>
                <c:pt idx="109">
                  <c:v>9.1138333333333339</c:v>
                </c:pt>
                <c:pt idx="110">
                  <c:v>9.1674998333333324</c:v>
                </c:pt>
                <c:pt idx="111">
                  <c:v>9.2211663333333345</c:v>
                </c:pt>
                <c:pt idx="112">
                  <c:v>9.274832833333333</c:v>
                </c:pt>
                <c:pt idx="113">
                  <c:v>9.3285003333333325</c:v>
                </c:pt>
                <c:pt idx="114">
                  <c:v>9.3823336666666659</c:v>
                </c:pt>
                <c:pt idx="115">
                  <c:v>9.436000166666668</c:v>
                </c:pt>
                <c:pt idx="116">
                  <c:v>9.4896666666666665</c:v>
                </c:pt>
                <c:pt idx="117">
                  <c:v>9.5433331666666668</c:v>
                </c:pt>
                <c:pt idx="118">
                  <c:v>9.596999666666667</c:v>
                </c:pt>
                <c:pt idx="119">
                  <c:v>9.6373335000000004</c:v>
                </c:pt>
                <c:pt idx="120">
                  <c:v>9.6910000000000007</c:v>
                </c:pt>
                <c:pt idx="121">
                  <c:v>9.7446664999999992</c:v>
                </c:pt>
                <c:pt idx="122">
                  <c:v>9.7850001666666664</c:v>
                </c:pt>
                <c:pt idx="123">
                  <c:v>9.8386668333333329</c:v>
                </c:pt>
                <c:pt idx="124">
                  <c:v>9.878833833333335</c:v>
                </c:pt>
                <c:pt idx="125">
                  <c:v>9.9326670000000004</c:v>
                </c:pt>
                <c:pt idx="126">
                  <c:v>9.9728331666666676</c:v>
                </c:pt>
                <c:pt idx="127">
                  <c:v>10.013166833333335</c:v>
                </c:pt>
                <c:pt idx="128">
                  <c:v>10.053332833333334</c:v>
                </c:pt>
                <c:pt idx="129">
                  <c:v>10.107167</c:v>
                </c:pt>
                <c:pt idx="130">
                  <c:v>10.147333166666666</c:v>
                </c:pt>
                <c:pt idx="131">
                  <c:v>10.187666833333333</c:v>
                </c:pt>
                <c:pt idx="132">
                  <c:v>10.227833</c:v>
                </c:pt>
                <c:pt idx="133">
                  <c:v>10.268166666666668</c:v>
                </c:pt>
                <c:pt idx="134">
                  <c:v>10.295</c:v>
                </c:pt>
                <c:pt idx="135">
                  <c:v>10.321833166666666</c:v>
                </c:pt>
                <c:pt idx="136">
                  <c:v>10.362166833333333</c:v>
                </c:pt>
                <c:pt idx="137">
                  <c:v>10.402333</c:v>
                </c:pt>
                <c:pt idx="138">
                  <c:v>10.429166333333335</c:v>
                </c:pt>
                <c:pt idx="139">
                  <c:v>10.4695</c:v>
                </c:pt>
                <c:pt idx="140">
                  <c:v>10.496333166666666</c:v>
                </c:pt>
                <c:pt idx="141">
                  <c:v>10.536667</c:v>
                </c:pt>
                <c:pt idx="142">
                  <c:v>10.563500166666667</c:v>
                </c:pt>
                <c:pt idx="143">
                  <c:v>10.603666333333333</c:v>
                </c:pt>
                <c:pt idx="144">
                  <c:v>10.630499500000001</c:v>
                </c:pt>
                <c:pt idx="145">
                  <c:v>10.644</c:v>
                </c:pt>
                <c:pt idx="146">
                  <c:v>10.684333666666667</c:v>
                </c:pt>
                <c:pt idx="147">
                  <c:v>10.711167</c:v>
                </c:pt>
                <c:pt idx="148">
                  <c:v>10.724499833333335</c:v>
                </c:pt>
                <c:pt idx="149">
                  <c:v>10.751333166666665</c:v>
                </c:pt>
                <c:pt idx="150">
                  <c:v>10.778166333333333</c:v>
                </c:pt>
                <c:pt idx="151">
                  <c:v>10.804999666666667</c:v>
                </c:pt>
                <c:pt idx="152">
                  <c:v>10.8185</c:v>
                </c:pt>
                <c:pt idx="153">
                  <c:v>10.831832833333333</c:v>
                </c:pt>
                <c:pt idx="154">
                  <c:v>10.845333333333334</c:v>
                </c:pt>
                <c:pt idx="155">
                  <c:v>10.872166666666667</c:v>
                </c:pt>
                <c:pt idx="156">
                  <c:v>10.885667000000002</c:v>
                </c:pt>
                <c:pt idx="157">
                  <c:v>10.898999833333333</c:v>
                </c:pt>
                <c:pt idx="158">
                  <c:v>10.898999833333333</c:v>
                </c:pt>
                <c:pt idx="159">
                  <c:v>10.912500333333332</c:v>
                </c:pt>
                <c:pt idx="160">
                  <c:v>10.912500333333332</c:v>
                </c:pt>
                <c:pt idx="161">
                  <c:v>10.925833166666667</c:v>
                </c:pt>
                <c:pt idx="162">
                  <c:v>10.939333666666666</c:v>
                </c:pt>
                <c:pt idx="163">
                  <c:v>10.939333666666666</c:v>
                </c:pt>
                <c:pt idx="164">
                  <c:v>10.939333666666666</c:v>
                </c:pt>
                <c:pt idx="165">
                  <c:v>10.952666333333333</c:v>
                </c:pt>
                <c:pt idx="166">
                  <c:v>10.952666333333333</c:v>
                </c:pt>
                <c:pt idx="167">
                  <c:v>10.952666333333333</c:v>
                </c:pt>
                <c:pt idx="168">
                  <c:v>10.939333666666666</c:v>
                </c:pt>
                <c:pt idx="169">
                  <c:v>10.939333666666666</c:v>
                </c:pt>
                <c:pt idx="170">
                  <c:v>10.925833166666667</c:v>
                </c:pt>
                <c:pt idx="171">
                  <c:v>10.925833166666667</c:v>
                </c:pt>
                <c:pt idx="172">
                  <c:v>10.912500333333332</c:v>
                </c:pt>
                <c:pt idx="173">
                  <c:v>10.912500333333332</c:v>
                </c:pt>
                <c:pt idx="174">
                  <c:v>10.898999833333333</c:v>
                </c:pt>
                <c:pt idx="175">
                  <c:v>10.885667000000002</c:v>
                </c:pt>
                <c:pt idx="176">
                  <c:v>10.872166666666667</c:v>
                </c:pt>
                <c:pt idx="177">
                  <c:v>10.858667000000001</c:v>
                </c:pt>
                <c:pt idx="178">
                  <c:v>10.831832833333333</c:v>
                </c:pt>
                <c:pt idx="179">
                  <c:v>10.8185</c:v>
                </c:pt>
                <c:pt idx="180">
                  <c:v>10.791666833333332</c:v>
                </c:pt>
                <c:pt idx="181">
                  <c:v>10.7648335</c:v>
                </c:pt>
                <c:pt idx="182">
                  <c:v>10.738000333333334</c:v>
                </c:pt>
                <c:pt idx="183">
                  <c:v>10.711167</c:v>
                </c:pt>
                <c:pt idx="184">
                  <c:v>10.684333666666667</c:v>
                </c:pt>
                <c:pt idx="185">
                  <c:v>10.657333833333333</c:v>
                </c:pt>
                <c:pt idx="186">
                  <c:v>10.617166833333332</c:v>
                </c:pt>
                <c:pt idx="187">
                  <c:v>10.576832999999999</c:v>
                </c:pt>
                <c:pt idx="188">
                  <c:v>10.549999833333334</c:v>
                </c:pt>
                <c:pt idx="189">
                  <c:v>10.509833666666667</c:v>
                </c:pt>
                <c:pt idx="190">
                  <c:v>10.4695</c:v>
                </c:pt>
                <c:pt idx="191">
                  <c:v>10.429166333333335</c:v>
                </c:pt>
                <c:pt idx="192">
                  <c:v>10.389000166666667</c:v>
                </c:pt>
                <c:pt idx="193">
                  <c:v>10.3486665</c:v>
                </c:pt>
                <c:pt idx="194">
                  <c:v>10.308500333333335</c:v>
                </c:pt>
                <c:pt idx="195">
                  <c:v>10.268166666666668</c:v>
                </c:pt>
                <c:pt idx="196">
                  <c:v>10.227833</c:v>
                </c:pt>
                <c:pt idx="197">
                  <c:v>10.174166333333334</c:v>
                </c:pt>
                <c:pt idx="198">
                  <c:v>10.134000333333335</c:v>
                </c:pt>
                <c:pt idx="199">
                  <c:v>10.093666666666667</c:v>
                </c:pt>
                <c:pt idx="200">
                  <c:v>10.039999999999999</c:v>
                </c:pt>
                <c:pt idx="201">
                  <c:v>10.013166833333335</c:v>
                </c:pt>
                <c:pt idx="202">
                  <c:v>9.9728331666666676</c:v>
                </c:pt>
                <c:pt idx="203">
                  <c:v>9.9326670000000004</c:v>
                </c:pt>
                <c:pt idx="204">
                  <c:v>9.8923333333333332</c:v>
                </c:pt>
                <c:pt idx="205">
                  <c:v>9.8519994999999998</c:v>
                </c:pt>
                <c:pt idx="206">
                  <c:v>9.8251663333333337</c:v>
                </c:pt>
                <c:pt idx="207">
                  <c:v>9.7850001666666664</c:v>
                </c:pt>
                <c:pt idx="208">
                  <c:v>9.7581669999999985</c:v>
                </c:pt>
                <c:pt idx="209">
                  <c:v>9.7313336666666661</c:v>
                </c:pt>
                <c:pt idx="210">
                  <c:v>9.6910000000000007</c:v>
                </c:pt>
                <c:pt idx="211">
                  <c:v>9.6641666666666666</c:v>
                </c:pt>
                <c:pt idx="212">
                  <c:v>9.6373335000000004</c:v>
                </c:pt>
                <c:pt idx="213">
                  <c:v>9.596999666666667</c:v>
                </c:pt>
                <c:pt idx="214">
                  <c:v>9.5701664999999991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576-4AA5-9EEE-938743C4BFD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17856"/>
        <c:axId val="100144480"/>
      </c:scatterChart>
      <c:valAx>
        <c:axId val="100117856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/>
                  <a:t>Strain, </a:t>
                </a:r>
                <a:r>
                  <a:rPr lang="el-GR" sz="1050"/>
                  <a:t>ε</a:t>
                </a:r>
                <a:endParaRPr lang="en-US" sz="1050"/>
              </a:p>
            </c:rich>
          </c:tx>
          <c:layout>
            <c:manualLayout>
              <c:xMode val="edge"/>
              <c:yMode val="edge"/>
              <c:x val="0.44270013123359575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44480"/>
        <c:crosses val="autoZero"/>
        <c:crossBetween val="midCat"/>
      </c:valAx>
      <c:valAx>
        <c:axId val="100144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Stress, σ (Mpa)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0.3096179644211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Stress</a:t>
            </a:r>
            <a:r>
              <a:rPr lang="en-US" baseline="0"/>
              <a:t> vs Strain</a:t>
            </a:r>
            <a:endParaRPr lang="en-US"/>
          </a:p>
        </c:rich>
      </c:tx>
      <c:layout>
        <c:manualLayout>
          <c:xMode val="edge"/>
          <c:yMode val="edge"/>
          <c:x val="0.4016666666666666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'0_4'!$D$3:$D$161</c:f>
              <c:numCache>
                <c:formatCode>General</c:formatCode>
                <c:ptCount val="159"/>
                <c:pt idx="0">
                  <c:v>0</c:v>
                </c:pt>
                <c:pt idx="1">
                  <c:v>7.4774774774799546E-5</c:v>
                </c:pt>
                <c:pt idx="2">
                  <c:v>1.5045045045047542E-4</c:v>
                </c:pt>
                <c:pt idx="3">
                  <c:v>2.2522522522525068E-4</c:v>
                </c:pt>
                <c:pt idx="4">
                  <c:v>3.0000000000002594E-4</c:v>
                </c:pt>
                <c:pt idx="5">
                  <c:v>3.7477477477479773E-4</c:v>
                </c:pt>
                <c:pt idx="6">
                  <c:v>4.5045045045047361E-4</c:v>
                </c:pt>
                <c:pt idx="7">
                  <c:v>5.2522522522524887E-4</c:v>
                </c:pt>
                <c:pt idx="8">
                  <c:v>6.0090090090092474E-4</c:v>
                </c:pt>
                <c:pt idx="9">
                  <c:v>6.756756756757E-4</c:v>
                </c:pt>
                <c:pt idx="10">
                  <c:v>7.5045045045047526E-4</c:v>
                </c:pt>
                <c:pt idx="11">
                  <c:v>8.2612612612615113E-4</c:v>
                </c:pt>
                <c:pt idx="12">
                  <c:v>9.0090090090092639E-4</c:v>
                </c:pt>
                <c:pt idx="13">
                  <c:v>9.7567567567569818E-4</c:v>
                </c:pt>
                <c:pt idx="14">
                  <c:v>1.0504504504504734E-3</c:v>
                </c:pt>
                <c:pt idx="15">
                  <c:v>1.1261261261261493E-3</c:v>
                </c:pt>
                <c:pt idx="16">
                  <c:v>1.2009009009009246E-3</c:v>
                </c:pt>
                <c:pt idx="17">
                  <c:v>1.2765765765766005E-3</c:v>
                </c:pt>
                <c:pt idx="18">
                  <c:v>1.3513513513513757E-3</c:v>
                </c:pt>
                <c:pt idx="19">
                  <c:v>1.426126126126151E-3</c:v>
                </c:pt>
                <c:pt idx="20">
                  <c:v>1.5018018018018268E-3</c:v>
                </c:pt>
                <c:pt idx="21">
                  <c:v>1.5765765765765986E-3</c:v>
                </c:pt>
                <c:pt idx="22">
                  <c:v>1.6513513513513739E-3</c:v>
                </c:pt>
                <c:pt idx="23">
                  <c:v>1.7261261261261492E-3</c:v>
                </c:pt>
                <c:pt idx="24">
                  <c:v>1.801801801801825E-3</c:v>
                </c:pt>
                <c:pt idx="25">
                  <c:v>1.8765765765766003E-3</c:v>
                </c:pt>
                <c:pt idx="26">
                  <c:v>1.9522522522522762E-3</c:v>
                </c:pt>
                <c:pt idx="27">
                  <c:v>2.0270270270270514E-3</c:v>
                </c:pt>
                <c:pt idx="28">
                  <c:v>2.1018018018018267E-3</c:v>
                </c:pt>
                <c:pt idx="29">
                  <c:v>2.1774774774775026E-3</c:v>
                </c:pt>
                <c:pt idx="30">
                  <c:v>2.2522522522522778E-3</c:v>
                </c:pt>
                <c:pt idx="31">
                  <c:v>2.3270270270270496E-3</c:v>
                </c:pt>
                <c:pt idx="32">
                  <c:v>2.4018018018018283E-3</c:v>
                </c:pt>
                <c:pt idx="33">
                  <c:v>2.4774774774775007E-3</c:v>
                </c:pt>
                <c:pt idx="34">
                  <c:v>2.552252252252276E-3</c:v>
                </c:pt>
                <c:pt idx="35">
                  <c:v>2.6279279279279484E-3</c:v>
                </c:pt>
                <c:pt idx="36">
                  <c:v>2.7027027027027271E-3</c:v>
                </c:pt>
                <c:pt idx="37">
                  <c:v>2.7774774774775024E-3</c:v>
                </c:pt>
                <c:pt idx="38">
                  <c:v>2.8531531531531783E-3</c:v>
                </c:pt>
                <c:pt idx="39">
                  <c:v>2.9279279279279501E-3</c:v>
                </c:pt>
                <c:pt idx="40">
                  <c:v>3.0027027027027288E-3</c:v>
                </c:pt>
                <c:pt idx="41">
                  <c:v>3.0774774774775006E-3</c:v>
                </c:pt>
                <c:pt idx="42">
                  <c:v>3.1531531531531765E-3</c:v>
                </c:pt>
                <c:pt idx="43">
                  <c:v>3.2279279279279517E-3</c:v>
                </c:pt>
                <c:pt idx="44">
                  <c:v>3.3036036036036276E-3</c:v>
                </c:pt>
                <c:pt idx="45">
                  <c:v>3.3783783783784029E-3</c:v>
                </c:pt>
                <c:pt idx="46">
                  <c:v>3.4531531531531746E-3</c:v>
                </c:pt>
                <c:pt idx="47">
                  <c:v>3.5288288288288505E-3</c:v>
                </c:pt>
                <c:pt idx="48">
                  <c:v>3.6036036036036292E-3</c:v>
                </c:pt>
                <c:pt idx="49">
                  <c:v>3.678378378378401E-3</c:v>
                </c:pt>
                <c:pt idx="50">
                  <c:v>3.7531531531531763E-3</c:v>
                </c:pt>
                <c:pt idx="51">
                  <c:v>3.8288288288288522E-3</c:v>
                </c:pt>
                <c:pt idx="52">
                  <c:v>3.9036036036036274E-3</c:v>
                </c:pt>
                <c:pt idx="53">
                  <c:v>3.9783783783784027E-3</c:v>
                </c:pt>
                <c:pt idx="54">
                  <c:v>4.0540540540540786E-3</c:v>
                </c:pt>
                <c:pt idx="55">
                  <c:v>4.1288288288288538E-3</c:v>
                </c:pt>
                <c:pt idx="56">
                  <c:v>4.2045045045045297E-3</c:v>
                </c:pt>
                <c:pt idx="57">
                  <c:v>4.2792792792793015E-3</c:v>
                </c:pt>
                <c:pt idx="58">
                  <c:v>4.3540540540540768E-3</c:v>
                </c:pt>
                <c:pt idx="59">
                  <c:v>4.4288288288288555E-3</c:v>
                </c:pt>
                <c:pt idx="60">
                  <c:v>4.5045045045045314E-3</c:v>
                </c:pt>
                <c:pt idx="61">
                  <c:v>4.5792792792793031E-3</c:v>
                </c:pt>
                <c:pt idx="62">
                  <c:v>4.6540540540540784E-3</c:v>
                </c:pt>
                <c:pt idx="63">
                  <c:v>4.7288288288288502E-3</c:v>
                </c:pt>
                <c:pt idx="64">
                  <c:v>4.8045045045045261E-3</c:v>
                </c:pt>
                <c:pt idx="65">
                  <c:v>4.8801801801802019E-3</c:v>
                </c:pt>
                <c:pt idx="66">
                  <c:v>4.9549549549549772E-3</c:v>
                </c:pt>
                <c:pt idx="67">
                  <c:v>5.0297297297297559E-3</c:v>
                </c:pt>
                <c:pt idx="68">
                  <c:v>5.1045045045045277E-3</c:v>
                </c:pt>
                <c:pt idx="69">
                  <c:v>5.1801801801802036E-3</c:v>
                </c:pt>
                <c:pt idx="70">
                  <c:v>5.2549549549549789E-3</c:v>
                </c:pt>
                <c:pt idx="71">
                  <c:v>5.3297297297297506E-3</c:v>
                </c:pt>
                <c:pt idx="72">
                  <c:v>5.4045045045045294E-3</c:v>
                </c:pt>
                <c:pt idx="73">
                  <c:v>5.4801801801802053E-3</c:v>
                </c:pt>
                <c:pt idx="74">
                  <c:v>5.5558558558558777E-3</c:v>
                </c:pt>
                <c:pt idx="75">
                  <c:v>5.6306306306306564E-3</c:v>
                </c:pt>
                <c:pt idx="76">
                  <c:v>5.7054054054054282E-3</c:v>
                </c:pt>
                <c:pt idx="77">
                  <c:v>5.7801801801802034E-3</c:v>
                </c:pt>
                <c:pt idx="78">
                  <c:v>5.8558558558558793E-3</c:v>
                </c:pt>
                <c:pt idx="79">
                  <c:v>5.9306306306306546E-3</c:v>
                </c:pt>
                <c:pt idx="80">
                  <c:v>6.0054054054054298E-3</c:v>
                </c:pt>
                <c:pt idx="81">
                  <c:v>6.0801801801802051E-3</c:v>
                </c:pt>
                <c:pt idx="82">
                  <c:v>6.155855855855881E-3</c:v>
                </c:pt>
                <c:pt idx="83">
                  <c:v>6.2315315315315568E-3</c:v>
                </c:pt>
                <c:pt idx="84">
                  <c:v>6.3063063063063286E-3</c:v>
                </c:pt>
                <c:pt idx="85">
                  <c:v>6.3810810810811074E-3</c:v>
                </c:pt>
                <c:pt idx="86">
                  <c:v>6.4558558558558791E-3</c:v>
                </c:pt>
                <c:pt idx="87">
                  <c:v>6.531531531531555E-3</c:v>
                </c:pt>
                <c:pt idx="88">
                  <c:v>6.6063063063063303E-3</c:v>
                </c:pt>
                <c:pt idx="89">
                  <c:v>6.6810810810811055E-3</c:v>
                </c:pt>
                <c:pt idx="90">
                  <c:v>6.7558558558558808E-3</c:v>
                </c:pt>
                <c:pt idx="91">
                  <c:v>6.8315315315315532E-3</c:v>
                </c:pt>
                <c:pt idx="92">
                  <c:v>6.9072072072072291E-3</c:v>
                </c:pt>
                <c:pt idx="93">
                  <c:v>6.9819819819820078E-3</c:v>
                </c:pt>
                <c:pt idx="94">
                  <c:v>7.0567567567567796E-3</c:v>
                </c:pt>
                <c:pt idx="95">
                  <c:v>7.1315315315315549E-3</c:v>
                </c:pt>
                <c:pt idx="96">
                  <c:v>7.2072072072072307E-3</c:v>
                </c:pt>
                <c:pt idx="97">
                  <c:v>7.281981981982006E-3</c:v>
                </c:pt>
                <c:pt idx="98">
                  <c:v>7.3567567567567813E-3</c:v>
                </c:pt>
                <c:pt idx="99">
                  <c:v>7.4315315315315565E-3</c:v>
                </c:pt>
                <c:pt idx="100">
                  <c:v>7.5072072072072324E-3</c:v>
                </c:pt>
                <c:pt idx="101">
                  <c:v>7.5828828828829083E-3</c:v>
                </c:pt>
                <c:pt idx="102">
                  <c:v>7.6576576576576801E-3</c:v>
                </c:pt>
                <c:pt idx="103">
                  <c:v>7.7324324324324553E-3</c:v>
                </c:pt>
                <c:pt idx="104">
                  <c:v>7.807207207207234E-3</c:v>
                </c:pt>
                <c:pt idx="105">
                  <c:v>7.8828828828829065E-3</c:v>
                </c:pt>
                <c:pt idx="106">
                  <c:v>7.9576576576576817E-3</c:v>
                </c:pt>
                <c:pt idx="107">
                  <c:v>8.032432432432457E-3</c:v>
                </c:pt>
                <c:pt idx="108">
                  <c:v>8.1072072072072288E-3</c:v>
                </c:pt>
                <c:pt idx="109">
                  <c:v>8.1828828828829046E-3</c:v>
                </c:pt>
                <c:pt idx="110">
                  <c:v>8.2585585585585805E-3</c:v>
                </c:pt>
                <c:pt idx="111">
                  <c:v>8.3333333333333558E-3</c:v>
                </c:pt>
                <c:pt idx="112">
                  <c:v>8.4081081081081345E-3</c:v>
                </c:pt>
                <c:pt idx="113">
                  <c:v>8.4828828828829063E-3</c:v>
                </c:pt>
                <c:pt idx="114">
                  <c:v>8.5585585585585822E-3</c:v>
                </c:pt>
                <c:pt idx="115">
                  <c:v>8.6333333333333574E-3</c:v>
                </c:pt>
                <c:pt idx="116">
                  <c:v>8.7081081081081292E-3</c:v>
                </c:pt>
                <c:pt idx="117">
                  <c:v>8.7837837837838051E-3</c:v>
                </c:pt>
                <c:pt idx="118">
                  <c:v>8.8585585585585838E-3</c:v>
                </c:pt>
                <c:pt idx="119">
                  <c:v>8.9342342342342562E-3</c:v>
                </c:pt>
                <c:pt idx="120">
                  <c:v>9.009009009009035E-3</c:v>
                </c:pt>
                <c:pt idx="121">
                  <c:v>9.0837837837838067E-3</c:v>
                </c:pt>
                <c:pt idx="122">
                  <c:v>9.158558558558582E-3</c:v>
                </c:pt>
                <c:pt idx="123">
                  <c:v>9.2342342342342579E-3</c:v>
                </c:pt>
                <c:pt idx="124">
                  <c:v>9.3090090090090297E-3</c:v>
                </c:pt>
                <c:pt idx="125">
                  <c:v>9.3837837837838084E-3</c:v>
                </c:pt>
                <c:pt idx="126">
                  <c:v>9.4594594594594843E-3</c:v>
                </c:pt>
                <c:pt idx="127">
                  <c:v>9.5342342342342595E-3</c:v>
                </c:pt>
                <c:pt idx="128">
                  <c:v>9.6090090090090313E-3</c:v>
                </c:pt>
                <c:pt idx="129">
                  <c:v>9.6846846846847072E-3</c:v>
                </c:pt>
                <c:pt idx="130">
                  <c:v>9.7594594594594825E-3</c:v>
                </c:pt>
                <c:pt idx="131">
                  <c:v>9.8342342342342577E-3</c:v>
                </c:pt>
                <c:pt idx="132">
                  <c:v>9.9099099099099336E-3</c:v>
                </c:pt>
                <c:pt idx="133">
                  <c:v>9.9846846846847088E-3</c:v>
                </c:pt>
                <c:pt idx="134">
                  <c:v>1.0059459459459484E-2</c:v>
                </c:pt>
                <c:pt idx="135">
                  <c:v>1.013513513513516E-2</c:v>
                </c:pt>
                <c:pt idx="136">
                  <c:v>1.0209909909909932E-2</c:v>
                </c:pt>
                <c:pt idx="137">
                  <c:v>1.0284684684684711E-2</c:v>
                </c:pt>
                <c:pt idx="138">
                  <c:v>1.0360360360360386E-2</c:v>
                </c:pt>
                <c:pt idx="139">
                  <c:v>1.0435135135135158E-2</c:v>
                </c:pt>
                <c:pt idx="140">
                  <c:v>1.0509909909909933E-2</c:v>
                </c:pt>
                <c:pt idx="141">
                  <c:v>1.0585585585585609E-2</c:v>
                </c:pt>
                <c:pt idx="142">
                  <c:v>1.0660360360360385E-2</c:v>
                </c:pt>
                <c:pt idx="143">
                  <c:v>1.073513513513516E-2</c:v>
                </c:pt>
                <c:pt idx="144">
                  <c:v>1.0810810810810832E-2</c:v>
                </c:pt>
                <c:pt idx="145">
                  <c:v>1.0885585585585611E-2</c:v>
                </c:pt>
                <c:pt idx="146">
                  <c:v>1.0960360360360383E-2</c:v>
                </c:pt>
                <c:pt idx="147">
                  <c:v>1.1035135135135158E-2</c:v>
                </c:pt>
                <c:pt idx="148">
                  <c:v>1.1110810810810834E-2</c:v>
                </c:pt>
                <c:pt idx="149">
                  <c:v>1.1185585585585613E-2</c:v>
                </c:pt>
                <c:pt idx="150">
                  <c:v>1.1261261261261285E-2</c:v>
                </c:pt>
                <c:pt idx="151">
                  <c:v>1.133603603603606E-2</c:v>
                </c:pt>
                <c:pt idx="152">
                  <c:v>1.1410810810810836E-2</c:v>
                </c:pt>
                <c:pt idx="153">
                  <c:v>1.1486486486486511E-2</c:v>
                </c:pt>
                <c:pt idx="154">
                  <c:v>1.1561261261261283E-2</c:v>
                </c:pt>
                <c:pt idx="155">
                  <c:v>1.1636036036036058E-2</c:v>
                </c:pt>
                <c:pt idx="156">
                  <c:v>1.1710810810810837E-2</c:v>
                </c:pt>
              </c:numCache>
            </c:numRef>
          </c:xVal>
          <c:yVal>
            <c:numRef>
              <c:f>'0_4'!$E$3:$E$161</c:f>
              <c:numCache>
                <c:formatCode>General</c:formatCode>
                <c:ptCount val="159"/>
                <c:pt idx="0">
                  <c:v>0.29516666666666669</c:v>
                </c:pt>
                <c:pt idx="1">
                  <c:v>0.36233333333333329</c:v>
                </c:pt>
                <c:pt idx="2">
                  <c:v>0.41600000000000004</c:v>
                </c:pt>
                <c:pt idx="3">
                  <c:v>0.48316666666666663</c:v>
                </c:pt>
                <c:pt idx="4">
                  <c:v>0.56366666666666665</c:v>
                </c:pt>
                <c:pt idx="5">
                  <c:v>0.64416666666666667</c:v>
                </c:pt>
                <c:pt idx="6">
                  <c:v>0.72466666666666657</c:v>
                </c:pt>
                <c:pt idx="7">
                  <c:v>0.81866666666666665</c:v>
                </c:pt>
                <c:pt idx="8">
                  <c:v>0.89916666666666667</c:v>
                </c:pt>
                <c:pt idx="9">
                  <c:v>0.99316666666666675</c:v>
                </c:pt>
                <c:pt idx="10">
                  <c:v>1.0736666666666668</c:v>
                </c:pt>
                <c:pt idx="11">
                  <c:v>1.1543333333333334</c:v>
                </c:pt>
                <c:pt idx="12">
                  <c:v>1.2481666666666666</c:v>
                </c:pt>
                <c:pt idx="13">
                  <c:v>1.3286666666666667</c:v>
                </c:pt>
                <c:pt idx="14">
                  <c:v>1.4226666666666667</c:v>
                </c:pt>
                <c:pt idx="15">
                  <c:v>1.5031666666666665</c:v>
                </c:pt>
                <c:pt idx="16">
                  <c:v>1.5971666666666666</c:v>
                </c:pt>
                <c:pt idx="17">
                  <c:v>1.6776666666666666</c:v>
                </c:pt>
                <c:pt idx="18">
                  <c:v>1.7716666666666667</c:v>
                </c:pt>
                <c:pt idx="19">
                  <c:v>1.8521666666666665</c:v>
                </c:pt>
                <c:pt idx="20">
                  <c:v>1.9328333333333334</c:v>
                </c:pt>
                <c:pt idx="21">
                  <c:v>2.0133333333333332</c:v>
                </c:pt>
                <c:pt idx="22">
                  <c:v>2.0938333333333334</c:v>
                </c:pt>
                <c:pt idx="23">
                  <c:v>2.1878335000000004</c:v>
                </c:pt>
                <c:pt idx="24">
                  <c:v>2.2683331666666664</c:v>
                </c:pt>
                <c:pt idx="25">
                  <c:v>2.3488333333333333</c:v>
                </c:pt>
                <c:pt idx="26">
                  <c:v>2.4293333333333331</c:v>
                </c:pt>
                <c:pt idx="27">
                  <c:v>2.5099999999999998</c:v>
                </c:pt>
                <c:pt idx="28">
                  <c:v>2.5905</c:v>
                </c:pt>
                <c:pt idx="29">
                  <c:v>2.6844999999999999</c:v>
                </c:pt>
                <c:pt idx="30">
                  <c:v>2.7650001666666668</c:v>
                </c:pt>
                <c:pt idx="31">
                  <c:v>2.8454998333333332</c:v>
                </c:pt>
                <c:pt idx="32">
                  <c:v>2.9126666666666665</c:v>
                </c:pt>
                <c:pt idx="33">
                  <c:v>3.0065</c:v>
                </c:pt>
                <c:pt idx="34">
                  <c:v>3.0736666666666665</c:v>
                </c:pt>
                <c:pt idx="35">
                  <c:v>3.1541666666666668</c:v>
                </c:pt>
                <c:pt idx="36">
                  <c:v>3.2481668333333333</c:v>
                </c:pt>
                <c:pt idx="37">
                  <c:v>3.3153333333333332</c:v>
                </c:pt>
                <c:pt idx="38">
                  <c:v>3.3958333333333335</c:v>
                </c:pt>
                <c:pt idx="39">
                  <c:v>3.4763333333333337</c:v>
                </c:pt>
                <c:pt idx="40">
                  <c:v>3.5703333333333331</c:v>
                </c:pt>
                <c:pt idx="41">
                  <c:v>3.6375001666666669</c:v>
                </c:pt>
                <c:pt idx="42">
                  <c:v>3.7179998333333333</c:v>
                </c:pt>
                <c:pt idx="43">
                  <c:v>3.7984999999999998</c:v>
                </c:pt>
                <c:pt idx="44">
                  <c:v>3.879</c:v>
                </c:pt>
                <c:pt idx="45">
                  <c:v>3.9461664999999999</c:v>
                </c:pt>
                <c:pt idx="46">
                  <c:v>4.0401666666666669</c:v>
                </c:pt>
                <c:pt idx="47">
                  <c:v>4.1071664999999999</c:v>
                </c:pt>
                <c:pt idx="48">
                  <c:v>4.1876668333333331</c:v>
                </c:pt>
                <c:pt idx="49">
                  <c:v>4.2683333333333335</c:v>
                </c:pt>
                <c:pt idx="50">
                  <c:v>4.3488331666666662</c:v>
                </c:pt>
                <c:pt idx="51">
                  <c:v>4.4293333333333331</c:v>
                </c:pt>
                <c:pt idx="52">
                  <c:v>4.496499833333333</c:v>
                </c:pt>
                <c:pt idx="53">
                  <c:v>4.5770001666666662</c:v>
                </c:pt>
                <c:pt idx="54">
                  <c:v>4.6574999999999998</c:v>
                </c:pt>
                <c:pt idx="55">
                  <c:v>4.7246664999999997</c:v>
                </c:pt>
                <c:pt idx="56">
                  <c:v>4.8051666666666666</c:v>
                </c:pt>
                <c:pt idx="57">
                  <c:v>4.8856665000000001</c:v>
                </c:pt>
                <c:pt idx="58">
                  <c:v>4.9663335000000002</c:v>
                </c:pt>
                <c:pt idx="59">
                  <c:v>5.0333333333333332</c:v>
                </c:pt>
                <c:pt idx="60">
                  <c:v>5.1138331666666668</c:v>
                </c:pt>
                <c:pt idx="61">
                  <c:v>5.1945001666666668</c:v>
                </c:pt>
                <c:pt idx="62">
                  <c:v>5.2614998333333336</c:v>
                </c:pt>
                <c:pt idx="63">
                  <c:v>5.3286668333333331</c:v>
                </c:pt>
                <c:pt idx="64">
                  <c:v>5.4091666666666667</c:v>
                </c:pt>
                <c:pt idx="65">
                  <c:v>5.4896665000000002</c:v>
                </c:pt>
                <c:pt idx="66">
                  <c:v>5.5568334999999998</c:v>
                </c:pt>
                <c:pt idx="67">
                  <c:v>5.6373333333333333</c:v>
                </c:pt>
                <c:pt idx="68">
                  <c:v>5.7044998333333332</c:v>
                </c:pt>
                <c:pt idx="69">
                  <c:v>5.7850000000000001</c:v>
                </c:pt>
                <c:pt idx="70">
                  <c:v>5.8521665</c:v>
                </c:pt>
                <c:pt idx="71">
                  <c:v>5.9326668333333332</c:v>
                </c:pt>
                <c:pt idx="72">
                  <c:v>5.9998333333333331</c:v>
                </c:pt>
                <c:pt idx="73">
                  <c:v>6.0668331666666671</c:v>
                </c:pt>
                <c:pt idx="74">
                  <c:v>6.1340001666666666</c:v>
                </c:pt>
                <c:pt idx="75">
                  <c:v>6.2145000000000001</c:v>
                </c:pt>
                <c:pt idx="76">
                  <c:v>6.2681665000000004</c:v>
                </c:pt>
                <c:pt idx="77">
                  <c:v>6.3488334999999996</c:v>
                </c:pt>
                <c:pt idx="78">
                  <c:v>6.4158333333333335</c:v>
                </c:pt>
                <c:pt idx="79">
                  <c:v>6.4829998333333334</c:v>
                </c:pt>
                <c:pt idx="80">
                  <c:v>6.5501668333333338</c:v>
                </c:pt>
                <c:pt idx="81">
                  <c:v>6.6171664999999997</c:v>
                </c:pt>
                <c:pt idx="82">
                  <c:v>6.6843334999999993</c:v>
                </c:pt>
                <c:pt idx="83">
                  <c:v>6.7514999999999992</c:v>
                </c:pt>
                <c:pt idx="84">
                  <c:v>6.8184998333333331</c:v>
                </c:pt>
                <c:pt idx="85">
                  <c:v>6.8856668333333335</c:v>
                </c:pt>
                <c:pt idx="86">
                  <c:v>6.9528333333333334</c:v>
                </c:pt>
                <c:pt idx="87">
                  <c:v>7.0198331666666673</c:v>
                </c:pt>
                <c:pt idx="88">
                  <c:v>7.0870001666666669</c:v>
                </c:pt>
                <c:pt idx="89">
                  <c:v>7.1541666666666668</c:v>
                </c:pt>
                <c:pt idx="90">
                  <c:v>7.2211664999999998</c:v>
                </c:pt>
                <c:pt idx="91">
                  <c:v>7.2750001666666666</c:v>
                </c:pt>
                <c:pt idx="92">
                  <c:v>7.3419999999999996</c:v>
                </c:pt>
                <c:pt idx="93">
                  <c:v>7.4091664999999995</c:v>
                </c:pt>
                <c:pt idx="94">
                  <c:v>7.4628335000000003</c:v>
                </c:pt>
                <c:pt idx="95">
                  <c:v>7.53</c:v>
                </c:pt>
                <c:pt idx="96">
                  <c:v>7.5836666666666668</c:v>
                </c:pt>
                <c:pt idx="97">
                  <c:v>7.6508331666666667</c:v>
                </c:pt>
                <c:pt idx="98">
                  <c:v>7.7045001666666666</c:v>
                </c:pt>
                <c:pt idx="99">
                  <c:v>7.7581666666666669</c:v>
                </c:pt>
                <c:pt idx="100">
                  <c:v>7.8118331666666672</c:v>
                </c:pt>
                <c:pt idx="101">
                  <c:v>7.8790001666666667</c:v>
                </c:pt>
                <c:pt idx="102">
                  <c:v>7.9326666666666661</c:v>
                </c:pt>
                <c:pt idx="103">
                  <c:v>7.9863331666666664</c:v>
                </c:pt>
                <c:pt idx="104">
                  <c:v>8.0399998333333329</c:v>
                </c:pt>
                <c:pt idx="105">
                  <c:v>8.0936663333333332</c:v>
                </c:pt>
                <c:pt idx="106">
                  <c:v>8.1204994999999993</c:v>
                </c:pt>
                <c:pt idx="107">
                  <c:v>8.1608333333333327</c:v>
                </c:pt>
                <c:pt idx="108">
                  <c:v>8.2011669999999999</c:v>
                </c:pt>
                <c:pt idx="109">
                  <c:v>8.2413330000000009</c:v>
                </c:pt>
                <c:pt idx="110">
                  <c:v>8.2949996666666657</c:v>
                </c:pt>
                <c:pt idx="111">
                  <c:v>8.3353333333333328</c:v>
                </c:pt>
                <c:pt idx="112">
                  <c:v>8.3755003333333331</c:v>
                </c:pt>
                <c:pt idx="113">
                  <c:v>8.4158331666666673</c:v>
                </c:pt>
                <c:pt idx="114">
                  <c:v>8.4561668333333326</c:v>
                </c:pt>
                <c:pt idx="115">
                  <c:v>8.4963328333333337</c:v>
                </c:pt>
                <c:pt idx="116">
                  <c:v>8.5366666666666671</c:v>
                </c:pt>
                <c:pt idx="117">
                  <c:v>8.5768336666666656</c:v>
                </c:pt>
                <c:pt idx="118">
                  <c:v>8.6171664999999997</c:v>
                </c:pt>
                <c:pt idx="119">
                  <c:v>8.6575001666666669</c:v>
                </c:pt>
                <c:pt idx="120">
                  <c:v>8.684333333333333</c:v>
                </c:pt>
                <c:pt idx="121">
                  <c:v>8.7245004999999995</c:v>
                </c:pt>
                <c:pt idx="122">
                  <c:v>8.7648331666666675</c:v>
                </c:pt>
                <c:pt idx="123">
                  <c:v>8.8051670000000009</c:v>
                </c:pt>
                <c:pt idx="124">
                  <c:v>8.832000166666667</c:v>
                </c:pt>
                <c:pt idx="125">
                  <c:v>8.8588334999999994</c:v>
                </c:pt>
                <c:pt idx="126">
                  <c:v>8.8989995000000004</c:v>
                </c:pt>
                <c:pt idx="127">
                  <c:v>8.9258336666666676</c:v>
                </c:pt>
                <c:pt idx="128">
                  <c:v>8.9661665000000017</c:v>
                </c:pt>
                <c:pt idx="129">
                  <c:v>8.9929998333333323</c:v>
                </c:pt>
                <c:pt idx="130">
                  <c:v>9.0198330000000002</c:v>
                </c:pt>
                <c:pt idx="131">
                  <c:v>9.0466663333333326</c:v>
                </c:pt>
                <c:pt idx="132">
                  <c:v>9.0734996666666667</c:v>
                </c:pt>
                <c:pt idx="133">
                  <c:v>9.1003338333333339</c:v>
                </c:pt>
                <c:pt idx="134">
                  <c:v>9.1271669999999983</c:v>
                </c:pt>
                <c:pt idx="135">
                  <c:v>9.1541669999999993</c:v>
                </c:pt>
                <c:pt idx="136">
                  <c:v>9.1674998333333324</c:v>
                </c:pt>
                <c:pt idx="137">
                  <c:v>9.1943331666666666</c:v>
                </c:pt>
                <c:pt idx="138">
                  <c:v>9.2211663333333345</c:v>
                </c:pt>
                <c:pt idx="139">
                  <c:v>9.2346668333333337</c:v>
                </c:pt>
                <c:pt idx="140">
                  <c:v>9.2479996666666668</c:v>
                </c:pt>
                <c:pt idx="141">
                  <c:v>9.2615001666666679</c:v>
                </c:pt>
                <c:pt idx="142">
                  <c:v>9.274832833333333</c:v>
                </c:pt>
                <c:pt idx="143">
                  <c:v>9.3016671666666664</c:v>
                </c:pt>
                <c:pt idx="144">
                  <c:v>9.3151666666666664</c:v>
                </c:pt>
                <c:pt idx="145">
                  <c:v>9.3151666666666664</c:v>
                </c:pt>
                <c:pt idx="146">
                  <c:v>9.3285003333333325</c:v>
                </c:pt>
                <c:pt idx="147">
                  <c:v>9.3285003333333325</c:v>
                </c:pt>
                <c:pt idx="148">
                  <c:v>9.3285003333333325</c:v>
                </c:pt>
                <c:pt idx="149">
                  <c:v>9.3285003333333325</c:v>
                </c:pt>
                <c:pt idx="150">
                  <c:v>9.3285003333333325</c:v>
                </c:pt>
                <c:pt idx="151">
                  <c:v>9.3285003333333325</c:v>
                </c:pt>
                <c:pt idx="152">
                  <c:v>9.3016671666666664</c:v>
                </c:pt>
                <c:pt idx="153">
                  <c:v>9.3016671666666664</c:v>
                </c:pt>
                <c:pt idx="154">
                  <c:v>9.2615001666666679</c:v>
                </c:pt>
                <c:pt idx="155">
                  <c:v>9.2211663333333345</c:v>
                </c:pt>
                <c:pt idx="156">
                  <c:v>9.1541669999999993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7E-4352-9791-A969AE4769F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17856"/>
        <c:axId val="100144480"/>
      </c:scatterChart>
      <c:valAx>
        <c:axId val="100117856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/>
                  <a:t>Strain, </a:t>
                </a:r>
                <a:r>
                  <a:rPr lang="el-GR" sz="1050"/>
                  <a:t>ε</a:t>
                </a:r>
                <a:endParaRPr lang="en-US" sz="1050"/>
              </a:p>
            </c:rich>
          </c:tx>
          <c:layout>
            <c:manualLayout>
              <c:xMode val="edge"/>
              <c:yMode val="edge"/>
              <c:x val="0.44270013123359575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44480"/>
        <c:crosses val="autoZero"/>
        <c:crossBetween val="midCat"/>
      </c:valAx>
      <c:valAx>
        <c:axId val="100144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Stress, σ (Mpa)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0.3096179644211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Stress</a:t>
            </a:r>
            <a:r>
              <a:rPr lang="en-US" baseline="0"/>
              <a:t> vs Strain</a:t>
            </a:r>
            <a:endParaRPr lang="en-US"/>
          </a:p>
        </c:rich>
      </c:tx>
      <c:layout>
        <c:manualLayout>
          <c:xMode val="edge"/>
          <c:yMode val="edge"/>
          <c:x val="0.4016666666666666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'0_5'!$D$3:$D$147</c:f>
              <c:numCache>
                <c:formatCode>General</c:formatCode>
                <c:ptCount val="145"/>
                <c:pt idx="0">
                  <c:v>0</c:v>
                </c:pt>
                <c:pt idx="1">
                  <c:v>7.4774774774772658E-5</c:v>
                </c:pt>
                <c:pt idx="2">
                  <c:v>1.504504504504481E-4</c:v>
                </c:pt>
                <c:pt idx="3">
                  <c:v>2.2522522522522292E-4</c:v>
                </c:pt>
                <c:pt idx="4">
                  <c:v>2.9999999999999775E-4</c:v>
                </c:pt>
                <c:pt idx="5">
                  <c:v>3.7477477477477258E-4</c:v>
                </c:pt>
                <c:pt idx="6">
                  <c:v>4.5045045045044845E-4</c:v>
                </c:pt>
                <c:pt idx="7">
                  <c:v>5.2522522522522328E-4</c:v>
                </c:pt>
                <c:pt idx="8">
                  <c:v>5.9999999999999767E-4</c:v>
                </c:pt>
                <c:pt idx="9">
                  <c:v>6.7567567567567354E-4</c:v>
                </c:pt>
                <c:pt idx="10">
                  <c:v>7.5045045045044837E-4</c:v>
                </c:pt>
                <c:pt idx="11">
                  <c:v>8.2612612612612381E-4</c:v>
                </c:pt>
                <c:pt idx="12">
                  <c:v>9.0090090090089907E-4</c:v>
                </c:pt>
                <c:pt idx="13">
                  <c:v>9.7567567567567346E-4</c:v>
                </c:pt>
                <c:pt idx="14">
                  <c:v>1.0504504504504483E-3</c:v>
                </c:pt>
                <c:pt idx="15">
                  <c:v>1.1261261261261237E-3</c:v>
                </c:pt>
                <c:pt idx="16">
                  <c:v>1.200900900900899E-3</c:v>
                </c:pt>
                <c:pt idx="17">
                  <c:v>1.2756756756756734E-3</c:v>
                </c:pt>
                <c:pt idx="18">
                  <c:v>1.3513513513513493E-3</c:v>
                </c:pt>
                <c:pt idx="19">
                  <c:v>1.4261261261261237E-3</c:v>
                </c:pt>
                <c:pt idx="20">
                  <c:v>1.5018018018017995E-3</c:v>
                </c:pt>
                <c:pt idx="21">
                  <c:v>1.5765765765765748E-3</c:v>
                </c:pt>
                <c:pt idx="22">
                  <c:v>1.6513513513513492E-3</c:v>
                </c:pt>
                <c:pt idx="23">
                  <c:v>1.7261261261261236E-3</c:v>
                </c:pt>
                <c:pt idx="24">
                  <c:v>1.8018018018017994E-3</c:v>
                </c:pt>
                <c:pt idx="25">
                  <c:v>1.8765765765765738E-3</c:v>
                </c:pt>
                <c:pt idx="26">
                  <c:v>1.95135135135135E-3</c:v>
                </c:pt>
                <c:pt idx="27">
                  <c:v>2.027027027027025E-3</c:v>
                </c:pt>
                <c:pt idx="28">
                  <c:v>2.1018018018017994E-3</c:v>
                </c:pt>
                <c:pt idx="29">
                  <c:v>2.1774774774774752E-3</c:v>
                </c:pt>
                <c:pt idx="30">
                  <c:v>2.2522522522522505E-3</c:v>
                </c:pt>
                <c:pt idx="31">
                  <c:v>2.3270270270270249E-3</c:v>
                </c:pt>
                <c:pt idx="32">
                  <c:v>2.4018018018017993E-3</c:v>
                </c:pt>
                <c:pt idx="33">
                  <c:v>2.4774774774774752E-3</c:v>
                </c:pt>
                <c:pt idx="34">
                  <c:v>2.5522522522522504E-3</c:v>
                </c:pt>
                <c:pt idx="35">
                  <c:v>2.6270270270270248E-3</c:v>
                </c:pt>
                <c:pt idx="36">
                  <c:v>2.7027027027027007E-3</c:v>
                </c:pt>
                <c:pt idx="37">
                  <c:v>2.7774774774774751E-3</c:v>
                </c:pt>
                <c:pt idx="38">
                  <c:v>2.853153153153151E-3</c:v>
                </c:pt>
                <c:pt idx="39">
                  <c:v>2.9279279279279253E-3</c:v>
                </c:pt>
                <c:pt idx="40">
                  <c:v>3.0027027027027006E-3</c:v>
                </c:pt>
                <c:pt idx="41">
                  <c:v>3.0774774774774759E-3</c:v>
                </c:pt>
                <c:pt idx="42">
                  <c:v>3.1531531531531509E-3</c:v>
                </c:pt>
                <c:pt idx="43">
                  <c:v>3.2279279279279253E-3</c:v>
                </c:pt>
                <c:pt idx="44">
                  <c:v>3.3027027027027005E-3</c:v>
                </c:pt>
                <c:pt idx="45">
                  <c:v>3.3783783783783764E-3</c:v>
                </c:pt>
                <c:pt idx="46">
                  <c:v>3.4531531531531508E-3</c:v>
                </c:pt>
                <c:pt idx="47">
                  <c:v>3.5288288288288267E-3</c:v>
                </c:pt>
                <c:pt idx="48">
                  <c:v>3.6036036036036011E-3</c:v>
                </c:pt>
                <c:pt idx="49">
                  <c:v>3.6783783783783763E-3</c:v>
                </c:pt>
                <c:pt idx="50">
                  <c:v>3.7531531531531507E-3</c:v>
                </c:pt>
                <c:pt idx="51">
                  <c:v>3.8288288288288266E-3</c:v>
                </c:pt>
                <c:pt idx="52">
                  <c:v>3.903603603603601E-3</c:v>
                </c:pt>
                <c:pt idx="53">
                  <c:v>3.9783783783783767E-3</c:v>
                </c:pt>
                <c:pt idx="54">
                  <c:v>4.0540540540540525E-3</c:v>
                </c:pt>
                <c:pt idx="55">
                  <c:v>4.1288288288288261E-3</c:v>
                </c:pt>
                <c:pt idx="56">
                  <c:v>4.2045045045045019E-3</c:v>
                </c:pt>
                <c:pt idx="57">
                  <c:v>4.2792792792792772E-3</c:v>
                </c:pt>
                <c:pt idx="58">
                  <c:v>4.3540540540540525E-3</c:v>
                </c:pt>
                <c:pt idx="59">
                  <c:v>4.4297297297297266E-3</c:v>
                </c:pt>
                <c:pt idx="60">
                  <c:v>4.5045045045045019E-3</c:v>
                </c:pt>
                <c:pt idx="61">
                  <c:v>4.5792792792792771E-3</c:v>
                </c:pt>
                <c:pt idx="62">
                  <c:v>4.6540540540540524E-3</c:v>
                </c:pt>
                <c:pt idx="63">
                  <c:v>4.7297297297297265E-3</c:v>
                </c:pt>
                <c:pt idx="64">
                  <c:v>4.8045045045045018E-3</c:v>
                </c:pt>
                <c:pt idx="65">
                  <c:v>4.879279279279277E-3</c:v>
                </c:pt>
                <c:pt idx="66">
                  <c:v>4.9549549549549529E-3</c:v>
                </c:pt>
                <c:pt idx="67">
                  <c:v>5.0297297297297264E-3</c:v>
                </c:pt>
                <c:pt idx="68">
                  <c:v>5.1054054054054041E-3</c:v>
                </c:pt>
                <c:pt idx="69">
                  <c:v>5.1801801801801776E-3</c:v>
                </c:pt>
                <c:pt idx="70">
                  <c:v>5.2549549549549528E-3</c:v>
                </c:pt>
                <c:pt idx="71">
                  <c:v>5.3297297297297281E-3</c:v>
                </c:pt>
                <c:pt idx="72">
                  <c:v>5.405405405405404E-3</c:v>
                </c:pt>
                <c:pt idx="73">
                  <c:v>5.4801801801801775E-3</c:v>
                </c:pt>
                <c:pt idx="74">
                  <c:v>5.5549549549549528E-3</c:v>
                </c:pt>
                <c:pt idx="75">
                  <c:v>5.6306306306306286E-3</c:v>
                </c:pt>
                <c:pt idx="76">
                  <c:v>5.7054054054054039E-3</c:v>
                </c:pt>
                <c:pt idx="77">
                  <c:v>5.7810810810810798E-3</c:v>
                </c:pt>
                <c:pt idx="78">
                  <c:v>5.8558558558558533E-3</c:v>
                </c:pt>
                <c:pt idx="79">
                  <c:v>5.9306306306306285E-3</c:v>
                </c:pt>
                <c:pt idx="80">
                  <c:v>6.0054054054054038E-3</c:v>
                </c:pt>
                <c:pt idx="81">
                  <c:v>6.0810810810810797E-3</c:v>
                </c:pt>
                <c:pt idx="82">
                  <c:v>6.1558558558558532E-3</c:v>
                </c:pt>
                <c:pt idx="83">
                  <c:v>6.2306306306306285E-3</c:v>
                </c:pt>
                <c:pt idx="84">
                  <c:v>6.3054054054054037E-3</c:v>
                </c:pt>
                <c:pt idx="85">
                  <c:v>6.3810810810810796E-3</c:v>
                </c:pt>
                <c:pt idx="86">
                  <c:v>6.4567567567567537E-3</c:v>
                </c:pt>
                <c:pt idx="87">
                  <c:v>6.531531531531529E-3</c:v>
                </c:pt>
                <c:pt idx="88">
                  <c:v>6.606306306306306E-3</c:v>
                </c:pt>
                <c:pt idx="89">
                  <c:v>6.6810810810810795E-3</c:v>
                </c:pt>
                <c:pt idx="90">
                  <c:v>6.7567567567567554E-3</c:v>
                </c:pt>
                <c:pt idx="91">
                  <c:v>6.8315315315315307E-3</c:v>
                </c:pt>
                <c:pt idx="92">
                  <c:v>6.9063063063063042E-3</c:v>
                </c:pt>
                <c:pt idx="93">
                  <c:v>6.9810810810810794E-3</c:v>
                </c:pt>
                <c:pt idx="94">
                  <c:v>7.0567567567567536E-3</c:v>
                </c:pt>
                <c:pt idx="95">
                  <c:v>7.1324324324324312E-3</c:v>
                </c:pt>
                <c:pt idx="96">
                  <c:v>7.2072072072072065E-3</c:v>
                </c:pt>
                <c:pt idx="97">
                  <c:v>7.28198198198198E-3</c:v>
                </c:pt>
                <c:pt idx="98">
                  <c:v>7.3567567567567552E-3</c:v>
                </c:pt>
                <c:pt idx="99">
                  <c:v>7.4324324324324311E-3</c:v>
                </c:pt>
                <c:pt idx="100">
                  <c:v>7.5072072072072046E-3</c:v>
                </c:pt>
                <c:pt idx="101">
                  <c:v>7.5819819819819799E-3</c:v>
                </c:pt>
                <c:pt idx="102">
                  <c:v>7.6567567567567534E-3</c:v>
                </c:pt>
                <c:pt idx="103">
                  <c:v>7.732432432432431E-3</c:v>
                </c:pt>
                <c:pt idx="104">
                  <c:v>7.8081081081081069E-3</c:v>
                </c:pt>
                <c:pt idx="105">
                  <c:v>7.8828828828828822E-3</c:v>
                </c:pt>
                <c:pt idx="106">
                  <c:v>7.9576576576576557E-3</c:v>
                </c:pt>
                <c:pt idx="107">
                  <c:v>8.0324324324324309E-3</c:v>
                </c:pt>
                <c:pt idx="108">
                  <c:v>8.1081081081081051E-3</c:v>
                </c:pt>
                <c:pt idx="109">
                  <c:v>8.1828828828828803E-3</c:v>
                </c:pt>
                <c:pt idx="110">
                  <c:v>8.2576576576576556E-3</c:v>
                </c:pt>
                <c:pt idx="111">
                  <c:v>8.3324324324324309E-3</c:v>
                </c:pt>
                <c:pt idx="112">
                  <c:v>8.4081081081081067E-3</c:v>
                </c:pt>
                <c:pt idx="113">
                  <c:v>8.4837837837837826E-3</c:v>
                </c:pt>
                <c:pt idx="114">
                  <c:v>8.5585585585585561E-3</c:v>
                </c:pt>
                <c:pt idx="115">
                  <c:v>8.6333333333333314E-3</c:v>
                </c:pt>
                <c:pt idx="116">
                  <c:v>8.7081081081081067E-3</c:v>
                </c:pt>
                <c:pt idx="117">
                  <c:v>8.7837837837837808E-3</c:v>
                </c:pt>
                <c:pt idx="118">
                  <c:v>8.8585585585585578E-3</c:v>
                </c:pt>
                <c:pt idx="119">
                  <c:v>8.9333333333333331E-3</c:v>
                </c:pt>
                <c:pt idx="120">
                  <c:v>9.0081081081081066E-3</c:v>
                </c:pt>
                <c:pt idx="121">
                  <c:v>9.0837837837837825E-3</c:v>
                </c:pt>
                <c:pt idx="122">
                  <c:v>9.1594594594594583E-3</c:v>
                </c:pt>
                <c:pt idx="123">
                  <c:v>9.2342342342342319E-3</c:v>
                </c:pt>
                <c:pt idx="124">
                  <c:v>9.3090090090090071E-3</c:v>
                </c:pt>
                <c:pt idx="125">
                  <c:v>9.3837837837837806E-3</c:v>
                </c:pt>
                <c:pt idx="126">
                  <c:v>9.4594594594594582E-3</c:v>
                </c:pt>
                <c:pt idx="127">
                  <c:v>9.5342342342342335E-3</c:v>
                </c:pt>
                <c:pt idx="128">
                  <c:v>9.609009009009007E-3</c:v>
                </c:pt>
                <c:pt idx="129">
                  <c:v>9.6837837837837823E-3</c:v>
                </c:pt>
                <c:pt idx="130">
                  <c:v>9.7594594594594582E-3</c:v>
                </c:pt>
                <c:pt idx="131">
                  <c:v>9.8351351351351323E-3</c:v>
                </c:pt>
                <c:pt idx="132">
                  <c:v>9.9099099099099076E-3</c:v>
                </c:pt>
                <c:pt idx="133">
                  <c:v>9.9846846846846846E-3</c:v>
                </c:pt>
                <c:pt idx="134">
                  <c:v>1.0059459459459458E-2</c:v>
                </c:pt>
                <c:pt idx="135">
                  <c:v>1.0135135135135134E-2</c:v>
                </c:pt>
                <c:pt idx="136">
                  <c:v>1.0209909909909907E-2</c:v>
                </c:pt>
                <c:pt idx="137">
                  <c:v>1.0284684684684683E-2</c:v>
                </c:pt>
                <c:pt idx="138">
                  <c:v>1.0359459459459458E-2</c:v>
                </c:pt>
                <c:pt idx="139">
                  <c:v>1.0435135135135132E-2</c:v>
                </c:pt>
                <c:pt idx="140">
                  <c:v>1.051081081081081E-2</c:v>
                </c:pt>
                <c:pt idx="141">
                  <c:v>1.0585585585585585E-2</c:v>
                </c:pt>
                <c:pt idx="142">
                  <c:v>1.0660360360360359E-2</c:v>
                </c:pt>
              </c:numCache>
            </c:numRef>
          </c:xVal>
          <c:yVal>
            <c:numRef>
              <c:f>'0_5'!$E$3:$E$147</c:f>
              <c:numCache>
                <c:formatCode>General</c:formatCode>
                <c:ptCount val="145"/>
                <c:pt idx="0">
                  <c:v>0.42949999999999999</c:v>
                </c:pt>
                <c:pt idx="1">
                  <c:v>0.48316666666666663</c:v>
                </c:pt>
                <c:pt idx="2">
                  <c:v>0.56366666666666665</c:v>
                </c:pt>
                <c:pt idx="3">
                  <c:v>0.64416666666666667</c:v>
                </c:pt>
                <c:pt idx="4">
                  <c:v>0.71133333333333337</c:v>
                </c:pt>
                <c:pt idx="5">
                  <c:v>0.80533333333333335</c:v>
                </c:pt>
                <c:pt idx="6">
                  <c:v>0.8723333333333334</c:v>
                </c:pt>
                <c:pt idx="7">
                  <c:v>0.95283333333333331</c:v>
                </c:pt>
                <c:pt idx="8">
                  <c:v>1.0334999999999999</c:v>
                </c:pt>
                <c:pt idx="9">
                  <c:v>1.1140000000000001</c:v>
                </c:pt>
                <c:pt idx="10">
                  <c:v>1.1945000000000001</c:v>
                </c:pt>
                <c:pt idx="11">
                  <c:v>1.2749999999999999</c:v>
                </c:pt>
                <c:pt idx="12">
                  <c:v>1.3556666666666668</c:v>
                </c:pt>
                <c:pt idx="13">
                  <c:v>1.4361666666666666</c:v>
                </c:pt>
                <c:pt idx="14">
                  <c:v>1.5166666666666666</c:v>
                </c:pt>
                <c:pt idx="15">
                  <c:v>1.5838333333333334</c:v>
                </c:pt>
                <c:pt idx="16">
                  <c:v>1.6776666666666666</c:v>
                </c:pt>
                <c:pt idx="17">
                  <c:v>1.7583333333333333</c:v>
                </c:pt>
                <c:pt idx="18">
                  <c:v>1.8388333333333333</c:v>
                </c:pt>
                <c:pt idx="19">
                  <c:v>1.9193333333333333</c:v>
                </c:pt>
                <c:pt idx="20">
                  <c:v>1.9998333333333334</c:v>
                </c:pt>
                <c:pt idx="21">
                  <c:v>2.0803335000000001</c:v>
                </c:pt>
                <c:pt idx="22">
                  <c:v>2.161</c:v>
                </c:pt>
                <c:pt idx="23">
                  <c:v>2.2415000000000003</c:v>
                </c:pt>
                <c:pt idx="24">
                  <c:v>2.3220000000000001</c:v>
                </c:pt>
                <c:pt idx="25">
                  <c:v>2.4025000000000003</c:v>
                </c:pt>
                <c:pt idx="26">
                  <c:v>2.4831668333333337</c:v>
                </c:pt>
                <c:pt idx="27">
                  <c:v>2.5636664999999996</c:v>
                </c:pt>
                <c:pt idx="28">
                  <c:v>2.6441664999999999</c:v>
                </c:pt>
                <c:pt idx="29">
                  <c:v>2.7246666666666663</c:v>
                </c:pt>
                <c:pt idx="30">
                  <c:v>2.8051666666666666</c:v>
                </c:pt>
                <c:pt idx="31">
                  <c:v>2.8858333333333333</c:v>
                </c:pt>
                <c:pt idx="32">
                  <c:v>2.9796666666666667</c:v>
                </c:pt>
                <c:pt idx="33">
                  <c:v>3.0603335</c:v>
                </c:pt>
                <c:pt idx="34">
                  <c:v>3.1541666666666668</c:v>
                </c:pt>
                <c:pt idx="35">
                  <c:v>3.2346668333333333</c:v>
                </c:pt>
                <c:pt idx="36">
                  <c:v>3.3153333333333332</c:v>
                </c:pt>
                <c:pt idx="37">
                  <c:v>3.3958333333333335</c:v>
                </c:pt>
                <c:pt idx="38">
                  <c:v>3.4763333333333337</c:v>
                </c:pt>
                <c:pt idx="39">
                  <c:v>3.5703333333333331</c:v>
                </c:pt>
                <c:pt idx="40">
                  <c:v>3.6508333333333334</c:v>
                </c:pt>
                <c:pt idx="41">
                  <c:v>3.7448333333333332</c:v>
                </c:pt>
                <c:pt idx="42">
                  <c:v>3.8253335000000002</c:v>
                </c:pt>
                <c:pt idx="43">
                  <c:v>3.9193331666666666</c:v>
                </c:pt>
                <c:pt idx="44">
                  <c:v>4.0133334999999999</c:v>
                </c:pt>
                <c:pt idx="45">
                  <c:v>4.0803333333333329</c:v>
                </c:pt>
                <c:pt idx="46">
                  <c:v>4.1743335000000004</c:v>
                </c:pt>
                <c:pt idx="47">
                  <c:v>4.254833333333333</c:v>
                </c:pt>
                <c:pt idx="48">
                  <c:v>4.3488331666666662</c:v>
                </c:pt>
                <c:pt idx="49">
                  <c:v>4.4293333333333331</c:v>
                </c:pt>
                <c:pt idx="50">
                  <c:v>4.5098331666666667</c:v>
                </c:pt>
                <c:pt idx="51">
                  <c:v>4.6038334999999995</c:v>
                </c:pt>
                <c:pt idx="52">
                  <c:v>4.6843331666666668</c:v>
                </c:pt>
                <c:pt idx="53">
                  <c:v>4.7648334999999999</c:v>
                </c:pt>
                <c:pt idx="54">
                  <c:v>4.8455000000000004</c:v>
                </c:pt>
                <c:pt idx="55">
                  <c:v>4.9393335</c:v>
                </c:pt>
                <c:pt idx="56">
                  <c:v>5.0065</c:v>
                </c:pt>
                <c:pt idx="57">
                  <c:v>5.0869998333333335</c:v>
                </c:pt>
                <c:pt idx="58">
                  <c:v>5.1810001666666663</c:v>
                </c:pt>
                <c:pt idx="59">
                  <c:v>5.2614998333333336</c:v>
                </c:pt>
                <c:pt idx="60">
                  <c:v>5.3421668333333336</c:v>
                </c:pt>
                <c:pt idx="61">
                  <c:v>5.4226666666666672</c:v>
                </c:pt>
                <c:pt idx="62">
                  <c:v>5.5031665000000007</c:v>
                </c:pt>
                <c:pt idx="63">
                  <c:v>5.5836666666666668</c:v>
                </c:pt>
                <c:pt idx="64">
                  <c:v>5.6641664999999994</c:v>
                </c:pt>
                <c:pt idx="65">
                  <c:v>5.7448334999999995</c:v>
                </c:pt>
                <c:pt idx="66">
                  <c:v>5.825333333333333</c:v>
                </c:pt>
                <c:pt idx="67">
                  <c:v>5.9058335</c:v>
                </c:pt>
                <c:pt idx="68">
                  <c:v>5.9729999999999999</c:v>
                </c:pt>
                <c:pt idx="69">
                  <c:v>6.0534998333333334</c:v>
                </c:pt>
                <c:pt idx="70">
                  <c:v>6.1340001666666666</c:v>
                </c:pt>
                <c:pt idx="71">
                  <c:v>6.2011666666666665</c:v>
                </c:pt>
                <c:pt idx="72">
                  <c:v>6.2816665</c:v>
                </c:pt>
                <c:pt idx="73">
                  <c:v>6.3488334999999996</c:v>
                </c:pt>
                <c:pt idx="74">
                  <c:v>6.4293331666666669</c:v>
                </c:pt>
                <c:pt idx="75">
                  <c:v>6.4965001666666664</c:v>
                </c:pt>
                <c:pt idx="76">
                  <c:v>6.577</c:v>
                </c:pt>
                <c:pt idx="77">
                  <c:v>6.6439998333333339</c:v>
                </c:pt>
                <c:pt idx="78">
                  <c:v>6.724666833333333</c:v>
                </c:pt>
                <c:pt idx="79">
                  <c:v>6.791666666666667</c:v>
                </c:pt>
                <c:pt idx="80">
                  <c:v>6.8588331666666669</c:v>
                </c:pt>
                <c:pt idx="81">
                  <c:v>6.9393333333333338</c:v>
                </c:pt>
                <c:pt idx="82">
                  <c:v>7.0198331666666673</c:v>
                </c:pt>
                <c:pt idx="83">
                  <c:v>7.0736664999999999</c:v>
                </c:pt>
                <c:pt idx="84">
                  <c:v>7.1406666666666663</c:v>
                </c:pt>
                <c:pt idx="85">
                  <c:v>7.2078331666666662</c:v>
                </c:pt>
                <c:pt idx="86">
                  <c:v>7.2883334999999994</c:v>
                </c:pt>
                <c:pt idx="87">
                  <c:v>7.3555000000000001</c:v>
                </c:pt>
                <c:pt idx="88">
                  <c:v>7.4224998333333332</c:v>
                </c:pt>
                <c:pt idx="89">
                  <c:v>7.4896668333333336</c:v>
                </c:pt>
                <c:pt idx="90">
                  <c:v>7.5433333333333339</c:v>
                </c:pt>
                <c:pt idx="91">
                  <c:v>7.6104998333333338</c:v>
                </c:pt>
                <c:pt idx="92">
                  <c:v>7.6776668333333333</c:v>
                </c:pt>
                <c:pt idx="93">
                  <c:v>7.7313333333333336</c:v>
                </c:pt>
                <c:pt idx="94">
                  <c:v>7.7983331666666666</c:v>
                </c:pt>
                <c:pt idx="95">
                  <c:v>7.8654996666666666</c:v>
                </c:pt>
                <c:pt idx="96">
                  <c:v>7.9191661666666668</c:v>
                </c:pt>
                <c:pt idx="97">
                  <c:v>7.9863331666666664</c:v>
                </c:pt>
                <c:pt idx="98">
                  <c:v>8.0399998333333329</c:v>
                </c:pt>
                <c:pt idx="99">
                  <c:v>8.1071666666666662</c:v>
                </c:pt>
                <c:pt idx="100">
                  <c:v>8.1608333333333327</c:v>
                </c:pt>
                <c:pt idx="101">
                  <c:v>8.214499833333333</c:v>
                </c:pt>
                <c:pt idx="102">
                  <c:v>8.2816668333333343</c:v>
                </c:pt>
                <c:pt idx="103">
                  <c:v>8.3353333333333328</c:v>
                </c:pt>
                <c:pt idx="104">
                  <c:v>8.3889998333333331</c:v>
                </c:pt>
                <c:pt idx="105">
                  <c:v>8.4426663333333334</c:v>
                </c:pt>
                <c:pt idx="106">
                  <c:v>8.4963328333333337</c:v>
                </c:pt>
                <c:pt idx="107">
                  <c:v>8.5366666666666671</c:v>
                </c:pt>
                <c:pt idx="108">
                  <c:v>8.5903331666666656</c:v>
                </c:pt>
                <c:pt idx="109">
                  <c:v>8.6439996666666676</c:v>
                </c:pt>
                <c:pt idx="110">
                  <c:v>8.6976661666666661</c:v>
                </c:pt>
                <c:pt idx="111">
                  <c:v>8.7379999999999995</c:v>
                </c:pt>
                <c:pt idx="112">
                  <c:v>8.7916664999999998</c:v>
                </c:pt>
                <c:pt idx="113">
                  <c:v>8.832000166666667</c:v>
                </c:pt>
                <c:pt idx="114">
                  <c:v>8.8721663333333325</c:v>
                </c:pt>
                <c:pt idx="115">
                  <c:v>8.9124999999999996</c:v>
                </c:pt>
                <c:pt idx="116">
                  <c:v>8.9526669999999999</c:v>
                </c:pt>
                <c:pt idx="117">
                  <c:v>8.979667000000001</c:v>
                </c:pt>
                <c:pt idx="118">
                  <c:v>9.0198330000000002</c:v>
                </c:pt>
                <c:pt idx="119">
                  <c:v>9.0466663333333326</c:v>
                </c:pt>
                <c:pt idx="120">
                  <c:v>9.0869999999999997</c:v>
                </c:pt>
                <c:pt idx="121">
                  <c:v>9.1003338333333339</c:v>
                </c:pt>
                <c:pt idx="122">
                  <c:v>9.1271669999999983</c:v>
                </c:pt>
                <c:pt idx="123">
                  <c:v>9.1541669999999993</c:v>
                </c:pt>
                <c:pt idx="124">
                  <c:v>9.1674998333333324</c:v>
                </c:pt>
                <c:pt idx="125">
                  <c:v>9.1810003333333334</c:v>
                </c:pt>
                <c:pt idx="126">
                  <c:v>9.1943331666666666</c:v>
                </c:pt>
                <c:pt idx="127">
                  <c:v>9.1943331666666666</c:v>
                </c:pt>
                <c:pt idx="128">
                  <c:v>9.1943331666666666</c:v>
                </c:pt>
                <c:pt idx="129">
                  <c:v>9.1943331666666666</c:v>
                </c:pt>
                <c:pt idx="130">
                  <c:v>9.1810003333333334</c:v>
                </c:pt>
                <c:pt idx="131">
                  <c:v>9.1674998333333324</c:v>
                </c:pt>
                <c:pt idx="132">
                  <c:v>9.1541669999999993</c:v>
                </c:pt>
                <c:pt idx="133">
                  <c:v>9.1271669999999983</c:v>
                </c:pt>
                <c:pt idx="134">
                  <c:v>9.1003338333333339</c:v>
                </c:pt>
                <c:pt idx="135">
                  <c:v>9.0601668333333336</c:v>
                </c:pt>
                <c:pt idx="136">
                  <c:v>9.0065001666666653</c:v>
                </c:pt>
                <c:pt idx="137">
                  <c:v>8.9661665000000017</c:v>
                </c:pt>
                <c:pt idx="138">
                  <c:v>8.9124999999999996</c:v>
                </c:pt>
                <c:pt idx="139">
                  <c:v>8.8453330000000001</c:v>
                </c:pt>
                <c:pt idx="140">
                  <c:v>8.7648331666666675</c:v>
                </c:pt>
                <c:pt idx="141">
                  <c:v>8.670833</c:v>
                </c:pt>
                <c:pt idx="142">
                  <c:v>8.5634998333333332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F9D-4FB4-956F-CE2767418E4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17856"/>
        <c:axId val="100144480"/>
      </c:scatterChart>
      <c:valAx>
        <c:axId val="100117856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/>
                  <a:t>Strain, </a:t>
                </a:r>
                <a:r>
                  <a:rPr lang="el-GR" sz="1050"/>
                  <a:t>ε</a:t>
                </a:r>
                <a:endParaRPr lang="en-US" sz="1050"/>
              </a:p>
            </c:rich>
          </c:tx>
          <c:layout>
            <c:manualLayout>
              <c:xMode val="edge"/>
              <c:yMode val="edge"/>
              <c:x val="0.44270013123359575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44480"/>
        <c:crosses val="autoZero"/>
        <c:crossBetween val="midCat"/>
      </c:valAx>
      <c:valAx>
        <c:axId val="100144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Stress, σ (Mpa)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0.3096179644211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Stress</a:t>
            </a:r>
            <a:r>
              <a:rPr lang="en-US" baseline="0"/>
              <a:t> vs Strain</a:t>
            </a:r>
            <a:endParaRPr lang="en-US"/>
          </a:p>
        </c:rich>
      </c:tx>
      <c:layout>
        <c:manualLayout>
          <c:xMode val="edge"/>
          <c:yMode val="edge"/>
          <c:x val="0.4016666666666666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'0_6'!$D$3:$D$156</c:f>
              <c:numCache>
                <c:formatCode>General</c:formatCode>
                <c:ptCount val="154"/>
                <c:pt idx="0">
                  <c:v>0</c:v>
                </c:pt>
                <c:pt idx="1">
                  <c:v>7.4774774774773959E-5</c:v>
                </c:pt>
                <c:pt idx="2">
                  <c:v>1.4954954954954879E-4</c:v>
                </c:pt>
                <c:pt idx="3">
                  <c:v>2.2522522522522423E-4</c:v>
                </c:pt>
                <c:pt idx="4">
                  <c:v>2.9999999999999949E-4</c:v>
                </c:pt>
                <c:pt idx="5">
                  <c:v>3.7477477477477388E-4</c:v>
                </c:pt>
                <c:pt idx="6">
                  <c:v>4.4954954954954914E-4</c:v>
                </c:pt>
                <c:pt idx="7">
                  <c:v>5.2522522522522415E-4</c:v>
                </c:pt>
                <c:pt idx="8">
                  <c:v>5.9999999999999941E-4</c:v>
                </c:pt>
                <c:pt idx="9">
                  <c:v>6.7567567567567485E-4</c:v>
                </c:pt>
                <c:pt idx="10">
                  <c:v>7.5045045045044967E-4</c:v>
                </c:pt>
                <c:pt idx="11">
                  <c:v>8.2522522522522406E-4</c:v>
                </c:pt>
                <c:pt idx="12">
                  <c:v>9.0090090090089994E-4</c:v>
                </c:pt>
                <c:pt idx="13">
                  <c:v>9.756756756756752E-4</c:v>
                </c:pt>
                <c:pt idx="14">
                  <c:v>1.0504504504504496E-3</c:v>
                </c:pt>
                <c:pt idx="15">
                  <c:v>1.1252252252252249E-3</c:v>
                </c:pt>
                <c:pt idx="16">
                  <c:v>1.2009009009008999E-3</c:v>
                </c:pt>
                <c:pt idx="17">
                  <c:v>1.2756756756756751E-3</c:v>
                </c:pt>
                <c:pt idx="18">
                  <c:v>1.3513513513513501E-3</c:v>
                </c:pt>
                <c:pt idx="19">
                  <c:v>1.4261261261261254E-3</c:v>
                </c:pt>
                <c:pt idx="20">
                  <c:v>1.5009009009008998E-3</c:v>
                </c:pt>
                <c:pt idx="21">
                  <c:v>1.5765765765765757E-3</c:v>
                </c:pt>
                <c:pt idx="22">
                  <c:v>1.65135135135135E-3</c:v>
                </c:pt>
                <c:pt idx="23">
                  <c:v>1.7261261261261253E-3</c:v>
                </c:pt>
                <c:pt idx="24">
                  <c:v>1.8009009009008997E-3</c:v>
                </c:pt>
                <c:pt idx="25">
                  <c:v>1.8765765765765756E-3</c:v>
                </c:pt>
                <c:pt idx="26">
                  <c:v>1.9513513513513508E-3</c:v>
                </c:pt>
                <c:pt idx="27">
                  <c:v>2.0270270270270258E-3</c:v>
                </c:pt>
                <c:pt idx="28">
                  <c:v>2.1018018018018011E-3</c:v>
                </c:pt>
                <c:pt idx="29">
                  <c:v>2.1765765765765764E-3</c:v>
                </c:pt>
                <c:pt idx="30">
                  <c:v>2.2522522522522514E-3</c:v>
                </c:pt>
                <c:pt idx="31">
                  <c:v>2.3270270270270266E-3</c:v>
                </c:pt>
                <c:pt idx="32">
                  <c:v>2.401801801801801E-3</c:v>
                </c:pt>
                <c:pt idx="33">
                  <c:v>2.4765765765765763E-3</c:v>
                </c:pt>
                <c:pt idx="34">
                  <c:v>2.5522522522522513E-3</c:v>
                </c:pt>
                <c:pt idx="35">
                  <c:v>2.6270270270270265E-3</c:v>
                </c:pt>
                <c:pt idx="36">
                  <c:v>2.7027027027027016E-3</c:v>
                </c:pt>
                <c:pt idx="37">
                  <c:v>2.7774774774774768E-3</c:v>
                </c:pt>
                <c:pt idx="38">
                  <c:v>2.8522522522522512E-3</c:v>
                </c:pt>
                <c:pt idx="39">
                  <c:v>2.9279279279279271E-3</c:v>
                </c:pt>
                <c:pt idx="40">
                  <c:v>3.0027027027027015E-3</c:v>
                </c:pt>
                <c:pt idx="41">
                  <c:v>3.0774774774774767E-3</c:v>
                </c:pt>
                <c:pt idx="42">
                  <c:v>3.152252252252252E-3</c:v>
                </c:pt>
                <c:pt idx="43">
                  <c:v>3.227927927927927E-3</c:v>
                </c:pt>
                <c:pt idx="44">
                  <c:v>3.3027027027027023E-3</c:v>
                </c:pt>
                <c:pt idx="45">
                  <c:v>3.3783783783783781E-3</c:v>
                </c:pt>
                <c:pt idx="46">
                  <c:v>3.4531531531531525E-3</c:v>
                </c:pt>
                <c:pt idx="47">
                  <c:v>3.5279279279279269E-3</c:v>
                </c:pt>
                <c:pt idx="48">
                  <c:v>3.6036036036036028E-3</c:v>
                </c:pt>
                <c:pt idx="49">
                  <c:v>3.6783783783783781E-3</c:v>
                </c:pt>
                <c:pt idx="50">
                  <c:v>3.7531531531531524E-3</c:v>
                </c:pt>
                <c:pt idx="51">
                  <c:v>3.8279279279279268E-3</c:v>
                </c:pt>
                <c:pt idx="52">
                  <c:v>3.9036036036036036E-3</c:v>
                </c:pt>
                <c:pt idx="53">
                  <c:v>3.9783783783783784E-3</c:v>
                </c:pt>
                <c:pt idx="54">
                  <c:v>4.0540540540540525E-3</c:v>
                </c:pt>
                <c:pt idx="55">
                  <c:v>4.1288288288288278E-3</c:v>
                </c:pt>
                <c:pt idx="56">
                  <c:v>4.2036036036036031E-3</c:v>
                </c:pt>
                <c:pt idx="57">
                  <c:v>4.2792792792792789E-3</c:v>
                </c:pt>
                <c:pt idx="58">
                  <c:v>4.3540540540540525E-3</c:v>
                </c:pt>
                <c:pt idx="59">
                  <c:v>4.4288288288288277E-3</c:v>
                </c:pt>
                <c:pt idx="60">
                  <c:v>4.503603603603603E-3</c:v>
                </c:pt>
                <c:pt idx="61">
                  <c:v>4.5792792792792789E-3</c:v>
                </c:pt>
                <c:pt idx="62">
                  <c:v>4.6540540540540524E-3</c:v>
                </c:pt>
                <c:pt idx="63">
                  <c:v>4.7288288288288294E-3</c:v>
                </c:pt>
                <c:pt idx="64">
                  <c:v>4.8045045045045035E-3</c:v>
                </c:pt>
                <c:pt idx="65">
                  <c:v>4.8792792792792788E-3</c:v>
                </c:pt>
                <c:pt idx="66">
                  <c:v>4.9549549549549529E-3</c:v>
                </c:pt>
                <c:pt idx="67">
                  <c:v>5.0297297297297299E-3</c:v>
                </c:pt>
                <c:pt idx="68">
                  <c:v>5.1045045045045034E-3</c:v>
                </c:pt>
                <c:pt idx="69">
                  <c:v>5.1792792792792787E-3</c:v>
                </c:pt>
                <c:pt idx="70">
                  <c:v>5.2549549549549528E-3</c:v>
                </c:pt>
                <c:pt idx="71">
                  <c:v>5.3297297297297281E-3</c:v>
                </c:pt>
                <c:pt idx="72">
                  <c:v>5.4045045045045034E-3</c:v>
                </c:pt>
                <c:pt idx="73">
                  <c:v>5.4801801801801792E-3</c:v>
                </c:pt>
                <c:pt idx="74">
                  <c:v>5.5549549549549545E-3</c:v>
                </c:pt>
                <c:pt idx="75">
                  <c:v>5.6306306306306304E-3</c:v>
                </c:pt>
                <c:pt idx="76">
                  <c:v>5.7054054054054039E-3</c:v>
                </c:pt>
                <c:pt idx="77">
                  <c:v>5.7801801801801792E-3</c:v>
                </c:pt>
                <c:pt idx="78">
                  <c:v>5.8549549549549544E-3</c:v>
                </c:pt>
                <c:pt idx="79">
                  <c:v>5.9306306306306303E-3</c:v>
                </c:pt>
                <c:pt idx="80">
                  <c:v>6.0054054054054038E-3</c:v>
                </c:pt>
                <c:pt idx="81">
                  <c:v>6.0801801801801791E-3</c:v>
                </c:pt>
                <c:pt idx="82">
                  <c:v>6.1549549549549543E-3</c:v>
                </c:pt>
                <c:pt idx="83">
                  <c:v>6.2306306306306302E-3</c:v>
                </c:pt>
                <c:pt idx="84">
                  <c:v>6.3063063063063043E-3</c:v>
                </c:pt>
                <c:pt idx="85">
                  <c:v>6.3810810810810796E-3</c:v>
                </c:pt>
                <c:pt idx="86">
                  <c:v>6.4558558558558531E-3</c:v>
                </c:pt>
                <c:pt idx="87">
                  <c:v>6.5306306306306284E-3</c:v>
                </c:pt>
                <c:pt idx="88">
                  <c:v>6.606306306306306E-3</c:v>
                </c:pt>
                <c:pt idx="89">
                  <c:v>6.6810810810810813E-3</c:v>
                </c:pt>
                <c:pt idx="90">
                  <c:v>6.7558558558558548E-3</c:v>
                </c:pt>
                <c:pt idx="91">
                  <c:v>6.83063063063063E-3</c:v>
                </c:pt>
                <c:pt idx="92">
                  <c:v>6.9063063063063042E-3</c:v>
                </c:pt>
                <c:pt idx="93">
                  <c:v>6.9819819819819801E-3</c:v>
                </c:pt>
                <c:pt idx="94">
                  <c:v>7.0567567567567553E-3</c:v>
                </c:pt>
                <c:pt idx="95">
                  <c:v>7.1315315315315306E-3</c:v>
                </c:pt>
                <c:pt idx="96">
                  <c:v>7.2063063063063058E-3</c:v>
                </c:pt>
                <c:pt idx="97">
                  <c:v>7.2819819819819817E-3</c:v>
                </c:pt>
                <c:pt idx="98">
                  <c:v>7.3567567567567552E-3</c:v>
                </c:pt>
                <c:pt idx="99">
                  <c:v>7.4315315315315305E-3</c:v>
                </c:pt>
                <c:pt idx="100">
                  <c:v>7.506306306306304E-3</c:v>
                </c:pt>
                <c:pt idx="101">
                  <c:v>7.5819819819819799E-3</c:v>
                </c:pt>
                <c:pt idx="102">
                  <c:v>7.6576576576576575E-3</c:v>
                </c:pt>
                <c:pt idx="103">
                  <c:v>7.7324324324324328E-3</c:v>
                </c:pt>
                <c:pt idx="104">
                  <c:v>7.8072072072072063E-3</c:v>
                </c:pt>
                <c:pt idx="105">
                  <c:v>7.8819819819819815E-3</c:v>
                </c:pt>
                <c:pt idx="106">
                  <c:v>7.9576576576576557E-3</c:v>
                </c:pt>
                <c:pt idx="107">
                  <c:v>8.0324324324324309E-3</c:v>
                </c:pt>
                <c:pt idx="108">
                  <c:v>8.1072072072072062E-3</c:v>
                </c:pt>
                <c:pt idx="109">
                  <c:v>8.1819819819819797E-3</c:v>
                </c:pt>
                <c:pt idx="110">
                  <c:v>8.2576576576576573E-3</c:v>
                </c:pt>
                <c:pt idx="111">
                  <c:v>8.3333333333333332E-3</c:v>
                </c:pt>
                <c:pt idx="112">
                  <c:v>8.4081081081081067E-3</c:v>
                </c:pt>
                <c:pt idx="113">
                  <c:v>8.482882882882882E-3</c:v>
                </c:pt>
                <c:pt idx="114">
                  <c:v>8.5576576576576555E-3</c:v>
                </c:pt>
                <c:pt idx="115">
                  <c:v>8.6333333333333314E-3</c:v>
                </c:pt>
                <c:pt idx="116">
                  <c:v>8.7081081081081067E-3</c:v>
                </c:pt>
                <c:pt idx="117">
                  <c:v>8.7828828828828802E-3</c:v>
                </c:pt>
                <c:pt idx="118">
                  <c:v>8.8576576576576572E-3</c:v>
                </c:pt>
                <c:pt idx="119">
                  <c:v>8.9333333333333331E-3</c:v>
                </c:pt>
                <c:pt idx="120">
                  <c:v>9.0090090090090072E-3</c:v>
                </c:pt>
                <c:pt idx="121">
                  <c:v>9.0837837837837825E-3</c:v>
                </c:pt>
                <c:pt idx="122">
                  <c:v>9.1585585585585577E-3</c:v>
                </c:pt>
                <c:pt idx="123">
                  <c:v>9.2333333333333312E-3</c:v>
                </c:pt>
                <c:pt idx="124">
                  <c:v>9.3090090090090071E-3</c:v>
                </c:pt>
                <c:pt idx="125">
                  <c:v>9.3837837837837841E-3</c:v>
                </c:pt>
                <c:pt idx="126">
                  <c:v>9.4585585585585576E-3</c:v>
                </c:pt>
                <c:pt idx="127">
                  <c:v>9.5333333333333329E-3</c:v>
                </c:pt>
                <c:pt idx="128">
                  <c:v>9.6090090090090088E-3</c:v>
                </c:pt>
                <c:pt idx="129">
                  <c:v>9.6846846846846829E-3</c:v>
                </c:pt>
                <c:pt idx="130">
                  <c:v>9.7594594594594582E-3</c:v>
                </c:pt>
                <c:pt idx="131">
                  <c:v>9.8342342342342317E-3</c:v>
                </c:pt>
                <c:pt idx="132">
                  <c:v>9.909009009009007E-3</c:v>
                </c:pt>
                <c:pt idx="133">
                  <c:v>9.9846846846846846E-3</c:v>
                </c:pt>
                <c:pt idx="134">
                  <c:v>1.0059459459459458E-2</c:v>
                </c:pt>
                <c:pt idx="135">
                  <c:v>1.0134234234234233E-2</c:v>
                </c:pt>
                <c:pt idx="136">
                  <c:v>1.0209009009009009E-2</c:v>
                </c:pt>
                <c:pt idx="137">
                  <c:v>1.0284684684684683E-2</c:v>
                </c:pt>
                <c:pt idx="138">
                  <c:v>1.0360360360360359E-2</c:v>
                </c:pt>
                <c:pt idx="139">
                  <c:v>1.0435135135135134E-2</c:v>
                </c:pt>
                <c:pt idx="140">
                  <c:v>1.0509909909909909E-2</c:v>
                </c:pt>
                <c:pt idx="141">
                  <c:v>1.0584684684684684E-2</c:v>
                </c:pt>
                <c:pt idx="142">
                  <c:v>1.066036036036036E-2</c:v>
                </c:pt>
                <c:pt idx="143">
                  <c:v>1.0735135135135134E-2</c:v>
                </c:pt>
                <c:pt idx="144">
                  <c:v>1.0809909909909909E-2</c:v>
                </c:pt>
                <c:pt idx="145">
                  <c:v>1.0884684684684683E-2</c:v>
                </c:pt>
                <c:pt idx="146">
                  <c:v>1.0960360360360358E-2</c:v>
                </c:pt>
                <c:pt idx="147">
                  <c:v>1.1035135135135134E-2</c:v>
                </c:pt>
                <c:pt idx="148">
                  <c:v>1.111081081081081E-2</c:v>
                </c:pt>
                <c:pt idx="149">
                  <c:v>1.1185585585585585E-2</c:v>
                </c:pt>
                <c:pt idx="150">
                  <c:v>1.126036036036036E-2</c:v>
                </c:pt>
                <c:pt idx="151">
                  <c:v>1.1336036036036034E-2</c:v>
                </c:pt>
              </c:numCache>
            </c:numRef>
          </c:xVal>
          <c:yVal>
            <c:numRef>
              <c:f>'0_6'!$E$3:$E$156</c:f>
              <c:numCache>
                <c:formatCode>General</c:formatCode>
                <c:ptCount val="154"/>
                <c:pt idx="0">
                  <c:v>0.46966666666666668</c:v>
                </c:pt>
                <c:pt idx="1">
                  <c:v>0.53683333333333338</c:v>
                </c:pt>
                <c:pt idx="2">
                  <c:v>0.60399999999999998</c:v>
                </c:pt>
                <c:pt idx="3">
                  <c:v>0.67099999999999993</c:v>
                </c:pt>
                <c:pt idx="4">
                  <c:v>0.73816666666666664</c:v>
                </c:pt>
                <c:pt idx="5">
                  <c:v>0.80533333333333335</c:v>
                </c:pt>
                <c:pt idx="6">
                  <c:v>0.88583333333333336</c:v>
                </c:pt>
                <c:pt idx="7">
                  <c:v>0.95283333333333331</c:v>
                </c:pt>
                <c:pt idx="8">
                  <c:v>1.0334999999999999</c:v>
                </c:pt>
                <c:pt idx="9">
                  <c:v>1.1005</c:v>
                </c:pt>
                <c:pt idx="10">
                  <c:v>1.1676666666666666</c:v>
                </c:pt>
                <c:pt idx="11">
                  <c:v>1.2348333333333334</c:v>
                </c:pt>
                <c:pt idx="12">
                  <c:v>1.3153333333333335</c:v>
                </c:pt>
                <c:pt idx="13">
                  <c:v>1.3825000000000001</c:v>
                </c:pt>
                <c:pt idx="14">
                  <c:v>1.4495</c:v>
                </c:pt>
                <c:pt idx="15">
                  <c:v>1.5301666666666667</c:v>
                </c:pt>
                <c:pt idx="16">
                  <c:v>1.5971666666666666</c:v>
                </c:pt>
                <c:pt idx="17">
                  <c:v>1.6643333333333332</c:v>
                </c:pt>
                <c:pt idx="18">
                  <c:v>1.7448333333333332</c:v>
                </c:pt>
                <c:pt idx="19">
                  <c:v>1.8120000000000001</c:v>
                </c:pt>
                <c:pt idx="20">
                  <c:v>1.879</c:v>
                </c:pt>
                <c:pt idx="21">
                  <c:v>1.9596666666666667</c:v>
                </c:pt>
                <c:pt idx="22">
                  <c:v>2.0401666666666665</c:v>
                </c:pt>
                <c:pt idx="23">
                  <c:v>2.1073333333333335</c:v>
                </c:pt>
                <c:pt idx="24">
                  <c:v>2.1743335000000004</c:v>
                </c:pt>
                <c:pt idx="25">
                  <c:v>2.2548331666666663</c:v>
                </c:pt>
                <c:pt idx="26">
                  <c:v>2.3220000000000001</c:v>
                </c:pt>
                <c:pt idx="27">
                  <c:v>2.3891666666666667</c:v>
                </c:pt>
                <c:pt idx="28">
                  <c:v>2.4696668333333336</c:v>
                </c:pt>
                <c:pt idx="29">
                  <c:v>2.5501665</c:v>
                </c:pt>
                <c:pt idx="30">
                  <c:v>2.6441664999999999</c:v>
                </c:pt>
                <c:pt idx="31">
                  <c:v>2.7246666666666663</c:v>
                </c:pt>
                <c:pt idx="32">
                  <c:v>2.8051666666666666</c:v>
                </c:pt>
                <c:pt idx="33">
                  <c:v>2.8858333333333333</c:v>
                </c:pt>
                <c:pt idx="34">
                  <c:v>2.966333333333333</c:v>
                </c:pt>
                <c:pt idx="35">
                  <c:v>3.0468335</c:v>
                </c:pt>
                <c:pt idx="36">
                  <c:v>3.1408331666666669</c:v>
                </c:pt>
                <c:pt idx="37">
                  <c:v>3.2213333333333334</c:v>
                </c:pt>
                <c:pt idx="38">
                  <c:v>3.3018333333333336</c:v>
                </c:pt>
                <c:pt idx="39">
                  <c:v>3.3823333333333334</c:v>
                </c:pt>
                <c:pt idx="40">
                  <c:v>3.4630000000000001</c:v>
                </c:pt>
                <c:pt idx="41">
                  <c:v>3.5435001666666666</c:v>
                </c:pt>
                <c:pt idx="42">
                  <c:v>3.6375001666666669</c:v>
                </c:pt>
                <c:pt idx="43">
                  <c:v>3.7045000000000003</c:v>
                </c:pt>
                <c:pt idx="44">
                  <c:v>3.7849999999999997</c:v>
                </c:pt>
                <c:pt idx="45">
                  <c:v>3.8656666666666668</c:v>
                </c:pt>
                <c:pt idx="46">
                  <c:v>3.9461664999999999</c:v>
                </c:pt>
                <c:pt idx="47">
                  <c:v>4.0266666666666664</c:v>
                </c:pt>
                <c:pt idx="48">
                  <c:v>4.1071664999999999</c:v>
                </c:pt>
                <c:pt idx="49">
                  <c:v>4.1743335000000004</c:v>
                </c:pt>
                <c:pt idx="50">
                  <c:v>4.254833333333333</c:v>
                </c:pt>
                <c:pt idx="51">
                  <c:v>4.3353331666666666</c:v>
                </c:pt>
                <c:pt idx="52">
                  <c:v>4.4160001666666666</c:v>
                </c:pt>
                <c:pt idx="53">
                  <c:v>4.496499833333333</c:v>
                </c:pt>
                <c:pt idx="54">
                  <c:v>4.5635001666666666</c:v>
                </c:pt>
                <c:pt idx="55">
                  <c:v>4.6441666666666661</c:v>
                </c:pt>
                <c:pt idx="56">
                  <c:v>4.7246664999999997</c:v>
                </c:pt>
                <c:pt idx="57">
                  <c:v>4.7918335000000001</c:v>
                </c:pt>
                <c:pt idx="58">
                  <c:v>4.8856665000000001</c:v>
                </c:pt>
                <c:pt idx="59">
                  <c:v>4.9528334999999997</c:v>
                </c:pt>
                <c:pt idx="60">
                  <c:v>5.0333333333333332</c:v>
                </c:pt>
                <c:pt idx="61">
                  <c:v>5.1004998333333331</c:v>
                </c:pt>
                <c:pt idx="62">
                  <c:v>5.1810001666666663</c:v>
                </c:pt>
                <c:pt idx="63">
                  <c:v>5.2481666666666662</c:v>
                </c:pt>
                <c:pt idx="64">
                  <c:v>5.3286668333333331</c:v>
                </c:pt>
                <c:pt idx="65">
                  <c:v>5.4091666666666667</c:v>
                </c:pt>
                <c:pt idx="66">
                  <c:v>5.4763331666666666</c:v>
                </c:pt>
                <c:pt idx="67">
                  <c:v>5.5435001666666661</c:v>
                </c:pt>
                <c:pt idx="68">
                  <c:v>5.6239999999999997</c:v>
                </c:pt>
                <c:pt idx="69">
                  <c:v>5.6909998333333336</c:v>
                </c:pt>
                <c:pt idx="70">
                  <c:v>5.7716668333333327</c:v>
                </c:pt>
                <c:pt idx="71">
                  <c:v>5.8386665000000004</c:v>
                </c:pt>
                <c:pt idx="72">
                  <c:v>5.9193334999999996</c:v>
                </c:pt>
                <c:pt idx="73">
                  <c:v>5.9729999999999999</c:v>
                </c:pt>
                <c:pt idx="74">
                  <c:v>6.0534998333333334</c:v>
                </c:pt>
                <c:pt idx="75">
                  <c:v>6.1206668333333329</c:v>
                </c:pt>
                <c:pt idx="76">
                  <c:v>6.1876666666666669</c:v>
                </c:pt>
                <c:pt idx="77">
                  <c:v>6.2681665000000004</c:v>
                </c:pt>
                <c:pt idx="78">
                  <c:v>6.3353335</c:v>
                </c:pt>
                <c:pt idx="79">
                  <c:v>6.3889999999999993</c:v>
                </c:pt>
                <c:pt idx="80">
                  <c:v>6.4694998333333329</c:v>
                </c:pt>
                <c:pt idx="81">
                  <c:v>6.5366668333333333</c:v>
                </c:pt>
                <c:pt idx="82">
                  <c:v>6.6038333333333332</c:v>
                </c:pt>
                <c:pt idx="83">
                  <c:v>6.6708334999999996</c:v>
                </c:pt>
                <c:pt idx="84">
                  <c:v>6.7380001666666667</c:v>
                </c:pt>
                <c:pt idx="85">
                  <c:v>6.8051666666666666</c:v>
                </c:pt>
                <c:pt idx="86">
                  <c:v>6.8723331666666665</c:v>
                </c:pt>
                <c:pt idx="87">
                  <c:v>6.9260001666666664</c:v>
                </c:pt>
                <c:pt idx="88">
                  <c:v>6.9929999999999994</c:v>
                </c:pt>
                <c:pt idx="89">
                  <c:v>7.0601664999999993</c:v>
                </c:pt>
                <c:pt idx="90">
                  <c:v>7.1273335000000007</c:v>
                </c:pt>
                <c:pt idx="91">
                  <c:v>7.181</c:v>
                </c:pt>
                <c:pt idx="92">
                  <c:v>7.2481665</c:v>
                </c:pt>
                <c:pt idx="93">
                  <c:v>7.3018334999999999</c:v>
                </c:pt>
                <c:pt idx="94">
                  <c:v>7.3688333333333329</c:v>
                </c:pt>
                <c:pt idx="95">
                  <c:v>7.4359998333333328</c:v>
                </c:pt>
                <c:pt idx="96">
                  <c:v>7.4896668333333336</c:v>
                </c:pt>
                <c:pt idx="97">
                  <c:v>7.5568333333333335</c:v>
                </c:pt>
                <c:pt idx="98">
                  <c:v>7.6104998333333338</c:v>
                </c:pt>
                <c:pt idx="99">
                  <c:v>7.6641668333333337</c:v>
                </c:pt>
                <c:pt idx="100">
                  <c:v>7.7178333333333331</c:v>
                </c:pt>
                <c:pt idx="101">
                  <c:v>7.784999833333333</c:v>
                </c:pt>
                <c:pt idx="102">
                  <c:v>7.8386665000000004</c:v>
                </c:pt>
                <c:pt idx="103">
                  <c:v>7.8923329999999998</c:v>
                </c:pt>
                <c:pt idx="104">
                  <c:v>7.9460004999999994</c:v>
                </c:pt>
                <c:pt idx="105">
                  <c:v>8.0131665000000005</c:v>
                </c:pt>
                <c:pt idx="106">
                  <c:v>8.0535001666666677</c:v>
                </c:pt>
                <c:pt idx="107">
                  <c:v>8.1204994999999993</c:v>
                </c:pt>
                <c:pt idx="108">
                  <c:v>8.1608333333333327</c:v>
                </c:pt>
                <c:pt idx="109">
                  <c:v>8.228000333333334</c:v>
                </c:pt>
                <c:pt idx="110">
                  <c:v>8.2681663333333333</c:v>
                </c:pt>
                <c:pt idx="111">
                  <c:v>8.3218338333333328</c:v>
                </c:pt>
                <c:pt idx="112">
                  <c:v>8.3755003333333331</c:v>
                </c:pt>
                <c:pt idx="113">
                  <c:v>8.4293335000000003</c:v>
                </c:pt>
                <c:pt idx="114">
                  <c:v>8.4694996666666675</c:v>
                </c:pt>
                <c:pt idx="115">
                  <c:v>8.5231671666666671</c:v>
                </c:pt>
                <c:pt idx="116">
                  <c:v>8.5768336666666656</c:v>
                </c:pt>
                <c:pt idx="117">
                  <c:v>8.6171664999999997</c:v>
                </c:pt>
                <c:pt idx="118">
                  <c:v>8.6575001666666669</c:v>
                </c:pt>
                <c:pt idx="119">
                  <c:v>8.7111666666666654</c:v>
                </c:pt>
                <c:pt idx="120">
                  <c:v>8.7513336666666657</c:v>
                </c:pt>
                <c:pt idx="121">
                  <c:v>8.8051670000000009</c:v>
                </c:pt>
                <c:pt idx="122">
                  <c:v>8.8453330000000001</c:v>
                </c:pt>
                <c:pt idx="123">
                  <c:v>8.8856666666666673</c:v>
                </c:pt>
                <c:pt idx="124">
                  <c:v>8.9258336666666676</c:v>
                </c:pt>
                <c:pt idx="125">
                  <c:v>8.9661665000000017</c:v>
                </c:pt>
                <c:pt idx="126">
                  <c:v>9.0065001666666653</c:v>
                </c:pt>
                <c:pt idx="127">
                  <c:v>9.0466663333333326</c:v>
                </c:pt>
                <c:pt idx="128">
                  <c:v>9.0734996666666667</c:v>
                </c:pt>
                <c:pt idx="129">
                  <c:v>9.1138333333333339</c:v>
                </c:pt>
                <c:pt idx="130">
                  <c:v>9.1406665</c:v>
                </c:pt>
                <c:pt idx="131">
                  <c:v>9.1810003333333334</c:v>
                </c:pt>
                <c:pt idx="132">
                  <c:v>9.2078334999999996</c:v>
                </c:pt>
                <c:pt idx="133">
                  <c:v>9.2346668333333337</c:v>
                </c:pt>
                <c:pt idx="134">
                  <c:v>9.2615001666666679</c:v>
                </c:pt>
                <c:pt idx="135">
                  <c:v>9.2883333333333322</c:v>
                </c:pt>
                <c:pt idx="136">
                  <c:v>9.3151666666666664</c:v>
                </c:pt>
                <c:pt idx="137">
                  <c:v>9.3419998333333343</c:v>
                </c:pt>
                <c:pt idx="138">
                  <c:v>9.3555003333333335</c:v>
                </c:pt>
                <c:pt idx="139">
                  <c:v>9.3688331666666667</c:v>
                </c:pt>
                <c:pt idx="140">
                  <c:v>9.3823336666666659</c:v>
                </c:pt>
                <c:pt idx="141">
                  <c:v>9.4091668333333338</c:v>
                </c:pt>
                <c:pt idx="142">
                  <c:v>9.4091668333333338</c:v>
                </c:pt>
                <c:pt idx="143">
                  <c:v>9.4224996666666652</c:v>
                </c:pt>
                <c:pt idx="144">
                  <c:v>9.4091668333333338</c:v>
                </c:pt>
                <c:pt idx="145">
                  <c:v>9.4091668333333338</c:v>
                </c:pt>
                <c:pt idx="146">
                  <c:v>9.4091668333333338</c:v>
                </c:pt>
                <c:pt idx="147">
                  <c:v>9.3956665000000008</c:v>
                </c:pt>
                <c:pt idx="148">
                  <c:v>9.3688331666666667</c:v>
                </c:pt>
                <c:pt idx="149">
                  <c:v>9.3419998333333343</c:v>
                </c:pt>
                <c:pt idx="150">
                  <c:v>9.2883333333333322</c:v>
                </c:pt>
                <c:pt idx="151">
                  <c:v>9.2078334999999996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AD3-4613-90FD-2D45E859E26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17856"/>
        <c:axId val="100144480"/>
      </c:scatterChart>
      <c:valAx>
        <c:axId val="100117856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/>
                  <a:t>Strain, </a:t>
                </a:r>
                <a:r>
                  <a:rPr lang="el-GR" sz="1050"/>
                  <a:t>ε</a:t>
                </a:r>
                <a:endParaRPr lang="en-US" sz="1050"/>
              </a:p>
            </c:rich>
          </c:tx>
          <c:layout>
            <c:manualLayout>
              <c:xMode val="edge"/>
              <c:yMode val="edge"/>
              <c:x val="0.44270013123359575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44480"/>
        <c:crosses val="autoZero"/>
        <c:crossBetween val="midCat"/>
      </c:valAx>
      <c:valAx>
        <c:axId val="100144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Stress, σ (Mpa)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0.3096179644211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Stress</a:t>
            </a:r>
            <a:r>
              <a:rPr lang="en-US" baseline="0"/>
              <a:t> vs Strain</a:t>
            </a:r>
            <a:endParaRPr lang="en-US"/>
          </a:p>
        </c:rich>
      </c:tx>
      <c:layout>
        <c:manualLayout>
          <c:xMode val="edge"/>
          <c:yMode val="edge"/>
          <c:x val="0.4016666666666666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'0_7'!$D$3:$D$146</c:f>
              <c:numCache>
                <c:formatCode>General</c:formatCode>
                <c:ptCount val="144"/>
                <c:pt idx="0">
                  <c:v>0</c:v>
                </c:pt>
                <c:pt idx="1">
                  <c:v>7.5675675675678043E-5</c:v>
                </c:pt>
                <c:pt idx="2">
                  <c:v>1.5045045045045287E-4</c:v>
                </c:pt>
                <c:pt idx="3">
                  <c:v>2.252252252252277E-4</c:v>
                </c:pt>
                <c:pt idx="4">
                  <c:v>3.0000000000000252E-4</c:v>
                </c:pt>
                <c:pt idx="5">
                  <c:v>3.756756756756784E-4</c:v>
                </c:pt>
                <c:pt idx="6">
                  <c:v>4.5045045045045322E-4</c:v>
                </c:pt>
                <c:pt idx="7">
                  <c:v>5.2522522522522761E-4</c:v>
                </c:pt>
                <c:pt idx="8">
                  <c:v>6.0090090090090349E-4</c:v>
                </c:pt>
                <c:pt idx="9">
                  <c:v>6.7567567567567832E-4</c:v>
                </c:pt>
                <c:pt idx="10">
                  <c:v>7.5135135135135376E-4</c:v>
                </c:pt>
                <c:pt idx="11">
                  <c:v>8.2612612612612902E-4</c:v>
                </c:pt>
                <c:pt idx="12">
                  <c:v>9.0090090090090341E-4</c:v>
                </c:pt>
                <c:pt idx="13">
                  <c:v>9.7567567567567823E-4</c:v>
                </c:pt>
                <c:pt idx="14">
                  <c:v>1.0513513513513537E-3</c:v>
                </c:pt>
                <c:pt idx="15">
                  <c:v>1.1261261261261289E-3</c:v>
                </c:pt>
                <c:pt idx="16">
                  <c:v>1.2009009009009033E-3</c:v>
                </c:pt>
                <c:pt idx="17">
                  <c:v>1.2765765765765792E-3</c:v>
                </c:pt>
                <c:pt idx="18">
                  <c:v>1.3513513513513536E-3</c:v>
                </c:pt>
                <c:pt idx="19">
                  <c:v>1.4270270270270295E-3</c:v>
                </c:pt>
                <c:pt idx="20">
                  <c:v>1.5018018018018047E-3</c:v>
                </c:pt>
                <c:pt idx="21">
                  <c:v>1.5765765765765791E-3</c:v>
                </c:pt>
                <c:pt idx="22">
                  <c:v>1.6513513513513535E-3</c:v>
                </c:pt>
                <c:pt idx="23">
                  <c:v>1.7270270270270294E-3</c:v>
                </c:pt>
                <c:pt idx="24">
                  <c:v>1.8018018018018038E-3</c:v>
                </c:pt>
                <c:pt idx="25">
                  <c:v>1.8765765765765799E-3</c:v>
                </c:pt>
                <c:pt idx="26">
                  <c:v>1.9522522522522549E-3</c:v>
                </c:pt>
                <c:pt idx="27">
                  <c:v>2.0270270270270293E-3</c:v>
                </c:pt>
                <c:pt idx="28">
                  <c:v>2.1027027027027052E-3</c:v>
                </c:pt>
                <c:pt idx="29">
                  <c:v>2.1774774774774804E-3</c:v>
                </c:pt>
                <c:pt idx="30">
                  <c:v>2.2522522522522548E-3</c:v>
                </c:pt>
                <c:pt idx="31">
                  <c:v>2.3270270270270292E-3</c:v>
                </c:pt>
                <c:pt idx="32">
                  <c:v>2.4027027027027051E-3</c:v>
                </c:pt>
                <c:pt idx="33">
                  <c:v>2.4774774774774804E-3</c:v>
                </c:pt>
                <c:pt idx="34">
                  <c:v>2.5522522522522548E-3</c:v>
                </c:pt>
                <c:pt idx="35">
                  <c:v>2.6279279279279306E-3</c:v>
                </c:pt>
                <c:pt idx="36">
                  <c:v>2.702702702702705E-3</c:v>
                </c:pt>
                <c:pt idx="37">
                  <c:v>2.7783783783783809E-3</c:v>
                </c:pt>
                <c:pt idx="38">
                  <c:v>2.8531531531531553E-3</c:v>
                </c:pt>
                <c:pt idx="39">
                  <c:v>2.9279279279279305E-3</c:v>
                </c:pt>
                <c:pt idx="40">
                  <c:v>3.0027027027027058E-3</c:v>
                </c:pt>
                <c:pt idx="41">
                  <c:v>3.0783783783783808E-3</c:v>
                </c:pt>
                <c:pt idx="42">
                  <c:v>3.1531531531531552E-3</c:v>
                </c:pt>
                <c:pt idx="43">
                  <c:v>3.2279279279279305E-3</c:v>
                </c:pt>
                <c:pt idx="44">
                  <c:v>3.3036036036036063E-3</c:v>
                </c:pt>
                <c:pt idx="45">
                  <c:v>3.3783783783783807E-3</c:v>
                </c:pt>
                <c:pt idx="46">
                  <c:v>3.4540540540540566E-3</c:v>
                </c:pt>
                <c:pt idx="47">
                  <c:v>3.528828828828831E-3</c:v>
                </c:pt>
                <c:pt idx="48">
                  <c:v>3.6036036036036063E-3</c:v>
                </c:pt>
                <c:pt idx="49">
                  <c:v>3.6783783783783807E-3</c:v>
                </c:pt>
                <c:pt idx="50">
                  <c:v>3.7540540540540565E-3</c:v>
                </c:pt>
                <c:pt idx="51">
                  <c:v>3.8288288288288309E-3</c:v>
                </c:pt>
                <c:pt idx="52">
                  <c:v>3.9036036036036062E-3</c:v>
                </c:pt>
                <c:pt idx="53">
                  <c:v>3.9792792792792825E-3</c:v>
                </c:pt>
                <c:pt idx="54">
                  <c:v>4.054054054054056E-3</c:v>
                </c:pt>
                <c:pt idx="55">
                  <c:v>4.1297297297297319E-3</c:v>
                </c:pt>
                <c:pt idx="56">
                  <c:v>4.2045045045045071E-3</c:v>
                </c:pt>
                <c:pt idx="57">
                  <c:v>4.2792792792792824E-3</c:v>
                </c:pt>
                <c:pt idx="58">
                  <c:v>4.3549549549549565E-3</c:v>
                </c:pt>
                <c:pt idx="59">
                  <c:v>4.4297297297297318E-3</c:v>
                </c:pt>
                <c:pt idx="60">
                  <c:v>4.5045045045045071E-3</c:v>
                </c:pt>
                <c:pt idx="61">
                  <c:v>4.5792792792792823E-3</c:v>
                </c:pt>
                <c:pt idx="62">
                  <c:v>4.6549549549549565E-3</c:v>
                </c:pt>
                <c:pt idx="63">
                  <c:v>4.7297297297297317E-3</c:v>
                </c:pt>
                <c:pt idx="64">
                  <c:v>4.804504504504507E-3</c:v>
                </c:pt>
                <c:pt idx="65">
                  <c:v>4.8801801801801829E-3</c:v>
                </c:pt>
                <c:pt idx="66">
                  <c:v>4.9549549549549564E-3</c:v>
                </c:pt>
                <c:pt idx="67">
                  <c:v>5.030630630630634E-3</c:v>
                </c:pt>
                <c:pt idx="68">
                  <c:v>5.1054054054054075E-3</c:v>
                </c:pt>
                <c:pt idx="69">
                  <c:v>5.1801801801801828E-3</c:v>
                </c:pt>
                <c:pt idx="70">
                  <c:v>5.254954954954958E-3</c:v>
                </c:pt>
                <c:pt idx="71">
                  <c:v>5.3306306306306339E-3</c:v>
                </c:pt>
                <c:pt idx="72">
                  <c:v>5.4054054054054074E-3</c:v>
                </c:pt>
                <c:pt idx="73">
                  <c:v>5.4801801801801827E-3</c:v>
                </c:pt>
                <c:pt idx="74">
                  <c:v>5.5558558558558586E-3</c:v>
                </c:pt>
                <c:pt idx="75">
                  <c:v>5.6306306306306338E-3</c:v>
                </c:pt>
                <c:pt idx="76">
                  <c:v>5.7063063063063097E-3</c:v>
                </c:pt>
                <c:pt idx="77">
                  <c:v>5.7810810810810832E-3</c:v>
                </c:pt>
                <c:pt idx="78">
                  <c:v>5.8558558558558585E-3</c:v>
                </c:pt>
                <c:pt idx="79">
                  <c:v>5.9306306306306338E-3</c:v>
                </c:pt>
                <c:pt idx="80">
                  <c:v>6.0063063063063096E-3</c:v>
                </c:pt>
                <c:pt idx="81">
                  <c:v>6.0810810810810832E-3</c:v>
                </c:pt>
                <c:pt idx="82">
                  <c:v>6.1558558558558584E-3</c:v>
                </c:pt>
                <c:pt idx="83">
                  <c:v>6.2306306306306337E-3</c:v>
                </c:pt>
                <c:pt idx="84">
                  <c:v>6.3063063063063095E-3</c:v>
                </c:pt>
                <c:pt idx="85">
                  <c:v>6.3819819819819837E-3</c:v>
                </c:pt>
                <c:pt idx="86">
                  <c:v>6.4567567567567589E-3</c:v>
                </c:pt>
                <c:pt idx="87">
                  <c:v>6.5315315315315359E-3</c:v>
                </c:pt>
                <c:pt idx="88">
                  <c:v>6.6063063063063095E-3</c:v>
                </c:pt>
                <c:pt idx="89">
                  <c:v>6.6819819819819853E-3</c:v>
                </c:pt>
                <c:pt idx="90">
                  <c:v>6.7567567567567606E-3</c:v>
                </c:pt>
                <c:pt idx="91">
                  <c:v>6.8315315315315341E-3</c:v>
                </c:pt>
                <c:pt idx="92">
                  <c:v>6.9063063063063094E-3</c:v>
                </c:pt>
                <c:pt idx="93">
                  <c:v>6.9819819819819835E-3</c:v>
                </c:pt>
                <c:pt idx="94">
                  <c:v>7.0576576576576611E-3</c:v>
                </c:pt>
                <c:pt idx="95">
                  <c:v>7.1324324324324364E-3</c:v>
                </c:pt>
                <c:pt idx="96">
                  <c:v>7.2072072072072099E-3</c:v>
                </c:pt>
                <c:pt idx="97">
                  <c:v>7.2819819819819852E-3</c:v>
                </c:pt>
                <c:pt idx="98">
                  <c:v>7.3576576576576611E-3</c:v>
                </c:pt>
                <c:pt idx="99">
                  <c:v>7.4324324324324346E-3</c:v>
                </c:pt>
                <c:pt idx="100">
                  <c:v>7.5072072072072098E-3</c:v>
                </c:pt>
                <c:pt idx="101">
                  <c:v>7.5819819819819834E-3</c:v>
                </c:pt>
                <c:pt idx="102">
                  <c:v>7.657657657657661E-3</c:v>
                </c:pt>
                <c:pt idx="103">
                  <c:v>7.7333333333333368E-3</c:v>
                </c:pt>
                <c:pt idx="104">
                  <c:v>7.8081081081081121E-3</c:v>
                </c:pt>
                <c:pt idx="105">
                  <c:v>7.8828828828828856E-3</c:v>
                </c:pt>
                <c:pt idx="106">
                  <c:v>7.9576576576576609E-3</c:v>
                </c:pt>
                <c:pt idx="107">
                  <c:v>8.033333333333335E-3</c:v>
                </c:pt>
                <c:pt idx="108">
                  <c:v>8.1081081081081103E-3</c:v>
                </c:pt>
                <c:pt idx="109">
                  <c:v>8.1828828828828856E-3</c:v>
                </c:pt>
                <c:pt idx="110">
                  <c:v>8.2576576576576608E-3</c:v>
                </c:pt>
                <c:pt idx="111">
                  <c:v>8.3333333333333367E-3</c:v>
                </c:pt>
                <c:pt idx="112">
                  <c:v>8.4090090090090126E-3</c:v>
                </c:pt>
                <c:pt idx="113">
                  <c:v>8.4837837837837861E-3</c:v>
                </c:pt>
                <c:pt idx="114">
                  <c:v>8.5585585585585613E-3</c:v>
                </c:pt>
                <c:pt idx="115">
                  <c:v>8.6333333333333366E-3</c:v>
                </c:pt>
                <c:pt idx="116">
                  <c:v>8.7090090090090107E-3</c:v>
                </c:pt>
                <c:pt idx="117">
                  <c:v>8.7837837837837877E-3</c:v>
                </c:pt>
                <c:pt idx="118">
                  <c:v>8.858558558558563E-3</c:v>
                </c:pt>
                <c:pt idx="119">
                  <c:v>8.9333333333333365E-3</c:v>
                </c:pt>
                <c:pt idx="120">
                  <c:v>9.0090090090090124E-3</c:v>
                </c:pt>
                <c:pt idx="121">
                  <c:v>9.0846846846846883E-3</c:v>
                </c:pt>
                <c:pt idx="122">
                  <c:v>9.1594594594594618E-3</c:v>
                </c:pt>
                <c:pt idx="123">
                  <c:v>9.2342342342342371E-3</c:v>
                </c:pt>
                <c:pt idx="124">
                  <c:v>9.3090090090090106E-3</c:v>
                </c:pt>
                <c:pt idx="125">
                  <c:v>9.3846846846846882E-3</c:v>
                </c:pt>
                <c:pt idx="126">
                  <c:v>9.4594594594594635E-3</c:v>
                </c:pt>
                <c:pt idx="127">
                  <c:v>9.534234234234237E-3</c:v>
                </c:pt>
                <c:pt idx="128">
                  <c:v>9.6090090090090122E-3</c:v>
                </c:pt>
                <c:pt idx="129">
                  <c:v>9.6846846846846881E-3</c:v>
                </c:pt>
                <c:pt idx="130">
                  <c:v>9.7603603603603623E-3</c:v>
                </c:pt>
                <c:pt idx="131">
                  <c:v>9.8351351351351375E-3</c:v>
                </c:pt>
                <c:pt idx="132">
                  <c:v>9.9099099099099145E-3</c:v>
                </c:pt>
                <c:pt idx="133">
                  <c:v>9.984684684684688E-3</c:v>
                </c:pt>
                <c:pt idx="134">
                  <c:v>1.0060360360360364E-2</c:v>
                </c:pt>
                <c:pt idx="135">
                  <c:v>1.0135135135135137E-2</c:v>
                </c:pt>
                <c:pt idx="136">
                  <c:v>1.0209909909909913E-2</c:v>
                </c:pt>
                <c:pt idx="137">
                  <c:v>1.0284684684684688E-2</c:v>
                </c:pt>
                <c:pt idx="138">
                  <c:v>1.0360360360360362E-2</c:v>
                </c:pt>
                <c:pt idx="139">
                  <c:v>1.043603603603604E-2</c:v>
                </c:pt>
                <c:pt idx="140">
                  <c:v>1.0510810810810815E-2</c:v>
                </c:pt>
                <c:pt idx="141">
                  <c:v>1.0585585585585588E-2</c:v>
                </c:pt>
                <c:pt idx="142">
                  <c:v>1.0660360360360364E-2</c:v>
                </c:pt>
              </c:numCache>
            </c:numRef>
          </c:xVal>
          <c:yVal>
            <c:numRef>
              <c:f>'0_7'!$E$3:$E$146</c:f>
              <c:numCache>
                <c:formatCode>General</c:formatCode>
                <c:ptCount val="144"/>
                <c:pt idx="0">
                  <c:v>0.48316666666666663</c:v>
                </c:pt>
                <c:pt idx="1">
                  <c:v>0.56366666666666665</c:v>
                </c:pt>
                <c:pt idx="2">
                  <c:v>0.64416666666666667</c:v>
                </c:pt>
                <c:pt idx="3">
                  <c:v>0.71133333333333337</c:v>
                </c:pt>
                <c:pt idx="4">
                  <c:v>0.80533333333333335</c:v>
                </c:pt>
                <c:pt idx="5">
                  <c:v>0.8723333333333334</c:v>
                </c:pt>
                <c:pt idx="6">
                  <c:v>0.95283333333333331</c:v>
                </c:pt>
                <c:pt idx="7">
                  <c:v>1.0334999999999999</c:v>
                </c:pt>
                <c:pt idx="8">
                  <c:v>1.1140000000000001</c:v>
                </c:pt>
                <c:pt idx="9">
                  <c:v>1.1945000000000001</c:v>
                </c:pt>
                <c:pt idx="10">
                  <c:v>1.2749999999999999</c:v>
                </c:pt>
                <c:pt idx="11">
                  <c:v>1.3556666666666668</c:v>
                </c:pt>
                <c:pt idx="12">
                  <c:v>1.4361666666666666</c:v>
                </c:pt>
                <c:pt idx="13">
                  <c:v>1.5166666666666666</c:v>
                </c:pt>
                <c:pt idx="14">
                  <c:v>1.5838333333333334</c:v>
                </c:pt>
                <c:pt idx="15">
                  <c:v>1.6776666666666666</c:v>
                </c:pt>
                <c:pt idx="16">
                  <c:v>1.7583333333333333</c:v>
                </c:pt>
                <c:pt idx="17">
                  <c:v>1.8388333333333333</c:v>
                </c:pt>
                <c:pt idx="18">
                  <c:v>1.9193333333333333</c:v>
                </c:pt>
                <c:pt idx="19">
                  <c:v>1.9998333333333334</c:v>
                </c:pt>
                <c:pt idx="20">
                  <c:v>2.0803335000000001</c:v>
                </c:pt>
                <c:pt idx="21">
                  <c:v>2.161</c:v>
                </c:pt>
                <c:pt idx="22">
                  <c:v>2.2415000000000003</c:v>
                </c:pt>
                <c:pt idx="23">
                  <c:v>2.3220000000000001</c:v>
                </c:pt>
                <c:pt idx="24">
                  <c:v>2.4025000000000003</c:v>
                </c:pt>
                <c:pt idx="25">
                  <c:v>2.4831668333333337</c:v>
                </c:pt>
                <c:pt idx="26">
                  <c:v>2.5636664999999996</c:v>
                </c:pt>
                <c:pt idx="27">
                  <c:v>2.6441664999999999</c:v>
                </c:pt>
                <c:pt idx="28">
                  <c:v>2.7246666666666663</c:v>
                </c:pt>
                <c:pt idx="29">
                  <c:v>2.8051666666666666</c:v>
                </c:pt>
                <c:pt idx="30">
                  <c:v>2.8858333333333333</c:v>
                </c:pt>
                <c:pt idx="31">
                  <c:v>2.9796666666666667</c:v>
                </c:pt>
                <c:pt idx="32">
                  <c:v>3.0603335</c:v>
                </c:pt>
                <c:pt idx="33">
                  <c:v>3.1541666666666668</c:v>
                </c:pt>
                <c:pt idx="34">
                  <c:v>3.2346668333333333</c:v>
                </c:pt>
                <c:pt idx="35">
                  <c:v>3.3153333333333332</c:v>
                </c:pt>
                <c:pt idx="36">
                  <c:v>3.3958333333333335</c:v>
                </c:pt>
                <c:pt idx="37">
                  <c:v>3.4763333333333337</c:v>
                </c:pt>
                <c:pt idx="38">
                  <c:v>3.5703333333333331</c:v>
                </c:pt>
                <c:pt idx="39">
                  <c:v>3.6508333333333334</c:v>
                </c:pt>
                <c:pt idx="40">
                  <c:v>3.7448333333333332</c:v>
                </c:pt>
                <c:pt idx="41">
                  <c:v>3.8253335000000002</c:v>
                </c:pt>
                <c:pt idx="42">
                  <c:v>3.9193331666666666</c:v>
                </c:pt>
                <c:pt idx="43">
                  <c:v>4.0133334999999999</c:v>
                </c:pt>
                <c:pt idx="44">
                  <c:v>4.0803333333333329</c:v>
                </c:pt>
                <c:pt idx="45">
                  <c:v>4.1743335000000004</c:v>
                </c:pt>
                <c:pt idx="46">
                  <c:v>4.254833333333333</c:v>
                </c:pt>
                <c:pt idx="47">
                  <c:v>4.3488331666666662</c:v>
                </c:pt>
                <c:pt idx="48">
                  <c:v>4.4293333333333331</c:v>
                </c:pt>
                <c:pt idx="49">
                  <c:v>4.5098331666666667</c:v>
                </c:pt>
                <c:pt idx="50">
                  <c:v>4.6038334999999995</c:v>
                </c:pt>
                <c:pt idx="51">
                  <c:v>4.6843331666666668</c:v>
                </c:pt>
                <c:pt idx="52">
                  <c:v>4.7648334999999999</c:v>
                </c:pt>
                <c:pt idx="53">
                  <c:v>4.8455000000000004</c:v>
                </c:pt>
                <c:pt idx="54">
                  <c:v>4.9393335</c:v>
                </c:pt>
                <c:pt idx="55">
                  <c:v>5.0065</c:v>
                </c:pt>
                <c:pt idx="56">
                  <c:v>5.0869998333333335</c:v>
                </c:pt>
                <c:pt idx="57">
                  <c:v>5.1810001666666663</c:v>
                </c:pt>
                <c:pt idx="58">
                  <c:v>5.2614998333333336</c:v>
                </c:pt>
                <c:pt idx="59">
                  <c:v>5.3421668333333336</c:v>
                </c:pt>
                <c:pt idx="60">
                  <c:v>5.4226666666666672</c:v>
                </c:pt>
                <c:pt idx="61">
                  <c:v>5.5031665000000007</c:v>
                </c:pt>
                <c:pt idx="62">
                  <c:v>5.5836666666666668</c:v>
                </c:pt>
                <c:pt idx="63">
                  <c:v>5.6641664999999994</c:v>
                </c:pt>
                <c:pt idx="64">
                  <c:v>5.7448334999999995</c:v>
                </c:pt>
                <c:pt idx="65">
                  <c:v>5.825333333333333</c:v>
                </c:pt>
                <c:pt idx="66">
                  <c:v>5.9058335</c:v>
                </c:pt>
                <c:pt idx="67">
                  <c:v>5.9729999999999999</c:v>
                </c:pt>
                <c:pt idx="68">
                  <c:v>6.0534998333333334</c:v>
                </c:pt>
                <c:pt idx="69">
                  <c:v>6.1340001666666666</c:v>
                </c:pt>
                <c:pt idx="70">
                  <c:v>6.2011666666666665</c:v>
                </c:pt>
                <c:pt idx="71">
                  <c:v>6.2816665</c:v>
                </c:pt>
                <c:pt idx="72">
                  <c:v>6.3488334999999996</c:v>
                </c:pt>
                <c:pt idx="73">
                  <c:v>6.4293331666666669</c:v>
                </c:pt>
                <c:pt idx="74">
                  <c:v>6.4965001666666664</c:v>
                </c:pt>
                <c:pt idx="75">
                  <c:v>6.577</c:v>
                </c:pt>
                <c:pt idx="76">
                  <c:v>6.6439998333333339</c:v>
                </c:pt>
                <c:pt idx="77">
                  <c:v>6.724666833333333</c:v>
                </c:pt>
                <c:pt idx="78">
                  <c:v>6.791666666666667</c:v>
                </c:pt>
                <c:pt idx="79">
                  <c:v>6.8588331666666669</c:v>
                </c:pt>
                <c:pt idx="80">
                  <c:v>6.9393333333333338</c:v>
                </c:pt>
                <c:pt idx="81">
                  <c:v>7.0198331666666673</c:v>
                </c:pt>
                <c:pt idx="82">
                  <c:v>7.0736664999999999</c:v>
                </c:pt>
                <c:pt idx="83">
                  <c:v>7.1406666666666663</c:v>
                </c:pt>
                <c:pt idx="84">
                  <c:v>7.2078331666666662</c:v>
                </c:pt>
                <c:pt idx="85">
                  <c:v>7.2883334999999994</c:v>
                </c:pt>
                <c:pt idx="86">
                  <c:v>7.3555000000000001</c:v>
                </c:pt>
                <c:pt idx="87">
                  <c:v>7.4224998333333332</c:v>
                </c:pt>
                <c:pt idx="88">
                  <c:v>7.4896668333333336</c:v>
                </c:pt>
                <c:pt idx="89">
                  <c:v>7.5433333333333339</c:v>
                </c:pt>
                <c:pt idx="90">
                  <c:v>7.6104998333333338</c:v>
                </c:pt>
                <c:pt idx="91">
                  <c:v>7.6776668333333333</c:v>
                </c:pt>
                <c:pt idx="92">
                  <c:v>7.7313333333333336</c:v>
                </c:pt>
                <c:pt idx="93">
                  <c:v>7.7983331666666666</c:v>
                </c:pt>
                <c:pt idx="94">
                  <c:v>7.8654996666666666</c:v>
                </c:pt>
                <c:pt idx="95">
                  <c:v>7.9191661666666668</c:v>
                </c:pt>
                <c:pt idx="96">
                  <c:v>7.9863331666666664</c:v>
                </c:pt>
                <c:pt idx="97">
                  <c:v>8.0399998333333329</c:v>
                </c:pt>
                <c:pt idx="98">
                  <c:v>8.1071666666666662</c:v>
                </c:pt>
                <c:pt idx="99">
                  <c:v>8.1608333333333327</c:v>
                </c:pt>
                <c:pt idx="100">
                  <c:v>8.214499833333333</c:v>
                </c:pt>
                <c:pt idx="101">
                  <c:v>8.2816668333333343</c:v>
                </c:pt>
                <c:pt idx="102">
                  <c:v>8.3353333333333328</c:v>
                </c:pt>
                <c:pt idx="103">
                  <c:v>8.3889998333333331</c:v>
                </c:pt>
                <c:pt idx="104">
                  <c:v>8.4426663333333334</c:v>
                </c:pt>
                <c:pt idx="105">
                  <c:v>8.4963328333333337</c:v>
                </c:pt>
                <c:pt idx="106">
                  <c:v>8.5366666666666671</c:v>
                </c:pt>
                <c:pt idx="107">
                  <c:v>8.5903331666666656</c:v>
                </c:pt>
                <c:pt idx="108">
                  <c:v>8.6439996666666676</c:v>
                </c:pt>
                <c:pt idx="109">
                  <c:v>8.6976661666666661</c:v>
                </c:pt>
                <c:pt idx="110">
                  <c:v>8.7379999999999995</c:v>
                </c:pt>
                <c:pt idx="111">
                  <c:v>8.7916664999999998</c:v>
                </c:pt>
                <c:pt idx="112">
                  <c:v>8.832000166666667</c:v>
                </c:pt>
                <c:pt idx="113">
                  <c:v>8.8721663333333325</c:v>
                </c:pt>
                <c:pt idx="114">
                  <c:v>8.9124999999999996</c:v>
                </c:pt>
                <c:pt idx="115">
                  <c:v>8.9526669999999999</c:v>
                </c:pt>
                <c:pt idx="116">
                  <c:v>8.979667000000001</c:v>
                </c:pt>
                <c:pt idx="117">
                  <c:v>9.0198330000000002</c:v>
                </c:pt>
                <c:pt idx="118">
                  <c:v>9.0466663333333326</c:v>
                </c:pt>
                <c:pt idx="119">
                  <c:v>9.0869999999999997</c:v>
                </c:pt>
                <c:pt idx="120">
                  <c:v>9.1003338333333339</c:v>
                </c:pt>
                <c:pt idx="121">
                  <c:v>9.1271669999999983</c:v>
                </c:pt>
                <c:pt idx="122">
                  <c:v>9.1541669999999993</c:v>
                </c:pt>
                <c:pt idx="123">
                  <c:v>9.1674998333333324</c:v>
                </c:pt>
                <c:pt idx="124">
                  <c:v>9.1810003333333334</c:v>
                </c:pt>
                <c:pt idx="125">
                  <c:v>9.1943331666666666</c:v>
                </c:pt>
                <c:pt idx="126">
                  <c:v>9.1943331666666666</c:v>
                </c:pt>
                <c:pt idx="127">
                  <c:v>9.1943331666666666</c:v>
                </c:pt>
                <c:pt idx="128">
                  <c:v>9.1943331666666666</c:v>
                </c:pt>
                <c:pt idx="129">
                  <c:v>9.1810003333333334</c:v>
                </c:pt>
                <c:pt idx="130">
                  <c:v>9.1674998333333324</c:v>
                </c:pt>
                <c:pt idx="131">
                  <c:v>9.1541669999999993</c:v>
                </c:pt>
                <c:pt idx="132">
                  <c:v>9.1271669999999983</c:v>
                </c:pt>
                <c:pt idx="133">
                  <c:v>9.1003338333333339</c:v>
                </c:pt>
                <c:pt idx="134">
                  <c:v>9.0601668333333336</c:v>
                </c:pt>
                <c:pt idx="135">
                  <c:v>9.0065001666666653</c:v>
                </c:pt>
                <c:pt idx="136">
                  <c:v>8.9661665000000017</c:v>
                </c:pt>
                <c:pt idx="137">
                  <c:v>8.9124999999999996</c:v>
                </c:pt>
                <c:pt idx="138">
                  <c:v>8.8453330000000001</c:v>
                </c:pt>
                <c:pt idx="139">
                  <c:v>8.7648331666666675</c:v>
                </c:pt>
                <c:pt idx="140">
                  <c:v>8.670833</c:v>
                </c:pt>
                <c:pt idx="141">
                  <c:v>8.5634998333333332</c:v>
                </c:pt>
                <c:pt idx="142">
                  <c:v>8.4158331666666673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6-4EA4-A386-75B9F6A28B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17856"/>
        <c:axId val="100144480"/>
      </c:scatterChart>
      <c:valAx>
        <c:axId val="100117856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/>
                  <a:t>Strain, </a:t>
                </a:r>
                <a:r>
                  <a:rPr lang="el-GR" sz="1050"/>
                  <a:t>ε</a:t>
                </a:r>
                <a:endParaRPr lang="en-US" sz="1050"/>
              </a:p>
            </c:rich>
          </c:tx>
          <c:layout>
            <c:manualLayout>
              <c:xMode val="edge"/>
              <c:yMode val="edge"/>
              <c:x val="0.44270013123359575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44480"/>
        <c:crosses val="autoZero"/>
        <c:crossBetween val="midCat"/>
      </c:valAx>
      <c:valAx>
        <c:axId val="100144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Stress, σ (Mpa)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0.3096179644211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Stress</a:t>
            </a:r>
            <a:r>
              <a:rPr lang="en-US" baseline="0"/>
              <a:t> vs Strain</a:t>
            </a:r>
            <a:endParaRPr lang="en-US"/>
          </a:p>
        </c:rich>
      </c:tx>
      <c:layout>
        <c:manualLayout>
          <c:xMode val="edge"/>
          <c:yMode val="edge"/>
          <c:x val="0.4016666666666666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'0_8'!$D$3:$D$165</c:f>
              <c:numCache>
                <c:formatCode>General</c:formatCode>
                <c:ptCount val="163"/>
                <c:pt idx="0">
                  <c:v>0</c:v>
                </c:pt>
                <c:pt idx="1">
                  <c:v>7.4774774774823832E-5</c:v>
                </c:pt>
                <c:pt idx="2">
                  <c:v>1.4954954954959736E-4</c:v>
                </c:pt>
                <c:pt idx="3">
                  <c:v>2.2432432432437262E-4</c:v>
                </c:pt>
                <c:pt idx="4">
                  <c:v>3.0000000000004676E-4</c:v>
                </c:pt>
                <c:pt idx="5">
                  <c:v>3.7477477477482202E-4</c:v>
                </c:pt>
                <c:pt idx="6">
                  <c:v>4.5045045045049789E-4</c:v>
                </c:pt>
                <c:pt idx="7">
                  <c:v>5.2522522522527142E-4</c:v>
                </c:pt>
                <c:pt idx="8">
                  <c:v>6.0000000000004668E-4</c:v>
                </c:pt>
                <c:pt idx="9">
                  <c:v>6.7567567567572429E-4</c:v>
                </c:pt>
                <c:pt idx="10">
                  <c:v>7.5045045045049781E-4</c:v>
                </c:pt>
                <c:pt idx="11">
                  <c:v>8.2522522522527307E-4</c:v>
                </c:pt>
                <c:pt idx="12">
                  <c:v>9.0000000000004833E-4</c:v>
                </c:pt>
                <c:pt idx="13">
                  <c:v>9.756756756757242E-4</c:v>
                </c:pt>
                <c:pt idx="14">
                  <c:v>1.050450450450496E-3</c:v>
                </c:pt>
                <c:pt idx="15">
                  <c:v>1.1261261261261719E-3</c:v>
                </c:pt>
                <c:pt idx="16">
                  <c:v>1.2009009009009506E-3</c:v>
                </c:pt>
                <c:pt idx="17">
                  <c:v>1.2756756756757224E-3</c:v>
                </c:pt>
                <c:pt idx="18">
                  <c:v>1.3513513513513983E-3</c:v>
                </c:pt>
                <c:pt idx="19">
                  <c:v>1.4261261261261735E-3</c:v>
                </c:pt>
                <c:pt idx="20">
                  <c:v>1.5009009009009488E-3</c:v>
                </c:pt>
                <c:pt idx="21">
                  <c:v>1.575675675675724E-3</c:v>
                </c:pt>
                <c:pt idx="22">
                  <c:v>1.6513513513513964E-3</c:v>
                </c:pt>
                <c:pt idx="23">
                  <c:v>1.7261261261261717E-3</c:v>
                </c:pt>
                <c:pt idx="24">
                  <c:v>1.8018018018018511E-3</c:v>
                </c:pt>
                <c:pt idx="25">
                  <c:v>1.8765765765766228E-3</c:v>
                </c:pt>
                <c:pt idx="26">
                  <c:v>1.9513513513513981E-3</c:v>
                </c:pt>
                <c:pt idx="27">
                  <c:v>2.027027027027074E-3</c:v>
                </c:pt>
                <c:pt idx="28">
                  <c:v>2.1018018018018492E-3</c:v>
                </c:pt>
                <c:pt idx="29">
                  <c:v>2.1765765765766245E-3</c:v>
                </c:pt>
                <c:pt idx="30">
                  <c:v>2.2513513513513998E-3</c:v>
                </c:pt>
                <c:pt idx="31">
                  <c:v>2.3270270270270756E-3</c:v>
                </c:pt>
                <c:pt idx="32">
                  <c:v>2.4018018018018509E-3</c:v>
                </c:pt>
                <c:pt idx="33">
                  <c:v>2.4774774774775268E-3</c:v>
                </c:pt>
                <c:pt idx="34">
                  <c:v>2.5522522522522986E-3</c:v>
                </c:pt>
                <c:pt idx="35">
                  <c:v>2.6270270270270738E-3</c:v>
                </c:pt>
                <c:pt idx="36">
                  <c:v>2.7027027027027497E-3</c:v>
                </c:pt>
                <c:pt idx="37">
                  <c:v>2.777477477477525E-3</c:v>
                </c:pt>
                <c:pt idx="38">
                  <c:v>2.8522522522523002E-3</c:v>
                </c:pt>
                <c:pt idx="39">
                  <c:v>2.9270270270270755E-3</c:v>
                </c:pt>
                <c:pt idx="40">
                  <c:v>3.0027027027027513E-3</c:v>
                </c:pt>
                <c:pt idx="41">
                  <c:v>3.0774774774775266E-3</c:v>
                </c:pt>
                <c:pt idx="42">
                  <c:v>3.153153153153199E-3</c:v>
                </c:pt>
                <c:pt idx="43">
                  <c:v>3.2279279279279777E-3</c:v>
                </c:pt>
                <c:pt idx="44">
                  <c:v>3.3027027027027495E-3</c:v>
                </c:pt>
                <c:pt idx="45">
                  <c:v>3.3783783783784254E-3</c:v>
                </c:pt>
                <c:pt idx="46">
                  <c:v>3.4531531531532007E-3</c:v>
                </c:pt>
                <c:pt idx="47">
                  <c:v>3.5279279279279725E-3</c:v>
                </c:pt>
                <c:pt idx="48">
                  <c:v>3.6027027027027512E-3</c:v>
                </c:pt>
                <c:pt idx="49">
                  <c:v>3.6783783783784271E-3</c:v>
                </c:pt>
                <c:pt idx="50">
                  <c:v>3.7531531531532023E-3</c:v>
                </c:pt>
                <c:pt idx="51">
                  <c:v>3.8288288288288782E-3</c:v>
                </c:pt>
                <c:pt idx="52">
                  <c:v>3.90360360360365E-3</c:v>
                </c:pt>
                <c:pt idx="53">
                  <c:v>3.9783783783784252E-3</c:v>
                </c:pt>
                <c:pt idx="54">
                  <c:v>4.0540540540541011E-3</c:v>
                </c:pt>
                <c:pt idx="55">
                  <c:v>4.1288288288288764E-3</c:v>
                </c:pt>
                <c:pt idx="56">
                  <c:v>4.2036036036036516E-3</c:v>
                </c:pt>
                <c:pt idx="57">
                  <c:v>4.2783783783784269E-3</c:v>
                </c:pt>
                <c:pt idx="58">
                  <c:v>4.3540540540541028E-3</c:v>
                </c:pt>
                <c:pt idx="59">
                  <c:v>4.4288288288288746E-3</c:v>
                </c:pt>
                <c:pt idx="60">
                  <c:v>4.5045045045045504E-3</c:v>
                </c:pt>
                <c:pt idx="61">
                  <c:v>4.5792792792793292E-3</c:v>
                </c:pt>
                <c:pt idx="62">
                  <c:v>4.654054054054101E-3</c:v>
                </c:pt>
                <c:pt idx="63">
                  <c:v>4.7297297297297768E-3</c:v>
                </c:pt>
                <c:pt idx="64">
                  <c:v>4.8045045045045521E-3</c:v>
                </c:pt>
                <c:pt idx="65">
                  <c:v>4.8792792792793273E-3</c:v>
                </c:pt>
                <c:pt idx="66">
                  <c:v>4.9540540540541026E-3</c:v>
                </c:pt>
                <c:pt idx="67">
                  <c:v>5.029729729729775E-3</c:v>
                </c:pt>
                <c:pt idx="68">
                  <c:v>5.1045045045045537E-3</c:v>
                </c:pt>
                <c:pt idx="69">
                  <c:v>5.1801801801802296E-3</c:v>
                </c:pt>
                <c:pt idx="70">
                  <c:v>5.2549549549550014E-3</c:v>
                </c:pt>
                <c:pt idx="71">
                  <c:v>5.3297297297297767E-3</c:v>
                </c:pt>
                <c:pt idx="72">
                  <c:v>5.4054054054054525E-3</c:v>
                </c:pt>
                <c:pt idx="73">
                  <c:v>5.4801801801802278E-3</c:v>
                </c:pt>
                <c:pt idx="74">
                  <c:v>5.5549549549550031E-3</c:v>
                </c:pt>
                <c:pt idx="75">
                  <c:v>5.6297297297297783E-3</c:v>
                </c:pt>
                <c:pt idx="76">
                  <c:v>5.7054054054054542E-3</c:v>
                </c:pt>
                <c:pt idx="77">
                  <c:v>5.780180180180226E-3</c:v>
                </c:pt>
                <c:pt idx="78">
                  <c:v>5.8549549549550012E-3</c:v>
                </c:pt>
                <c:pt idx="79">
                  <c:v>5.9306306306306771E-3</c:v>
                </c:pt>
                <c:pt idx="80">
                  <c:v>6.0054054054054559E-3</c:v>
                </c:pt>
                <c:pt idx="81">
                  <c:v>6.0810810810811317E-3</c:v>
                </c:pt>
                <c:pt idx="82">
                  <c:v>6.1558558558559035E-3</c:v>
                </c:pt>
                <c:pt idx="83">
                  <c:v>6.2306306306306788E-3</c:v>
                </c:pt>
                <c:pt idx="84">
                  <c:v>6.3054054054054506E-3</c:v>
                </c:pt>
                <c:pt idx="85">
                  <c:v>6.3810810810811264E-3</c:v>
                </c:pt>
                <c:pt idx="86">
                  <c:v>6.4558558558559052E-3</c:v>
                </c:pt>
                <c:pt idx="87">
                  <c:v>6.5306306306306804E-3</c:v>
                </c:pt>
                <c:pt idx="88">
                  <c:v>6.6063063063063563E-3</c:v>
                </c:pt>
                <c:pt idx="89">
                  <c:v>6.6810810810811281E-3</c:v>
                </c:pt>
                <c:pt idx="90">
                  <c:v>6.756756756756804E-3</c:v>
                </c:pt>
                <c:pt idx="91">
                  <c:v>6.8315315315315792E-3</c:v>
                </c:pt>
                <c:pt idx="92">
                  <c:v>6.906306306306351E-3</c:v>
                </c:pt>
                <c:pt idx="93">
                  <c:v>6.9810810810811297E-3</c:v>
                </c:pt>
                <c:pt idx="94">
                  <c:v>7.0567567567568056E-3</c:v>
                </c:pt>
                <c:pt idx="95">
                  <c:v>7.1315315315315809E-3</c:v>
                </c:pt>
                <c:pt idx="96">
                  <c:v>7.2063063063063527E-3</c:v>
                </c:pt>
                <c:pt idx="97">
                  <c:v>7.2819819819820285E-3</c:v>
                </c:pt>
                <c:pt idx="98">
                  <c:v>7.3567567567568038E-3</c:v>
                </c:pt>
                <c:pt idx="99">
                  <c:v>7.4324324324324797E-3</c:v>
                </c:pt>
                <c:pt idx="100">
                  <c:v>7.5072072072072515E-3</c:v>
                </c:pt>
                <c:pt idx="101">
                  <c:v>7.5819819819820302E-3</c:v>
                </c:pt>
                <c:pt idx="102">
                  <c:v>7.6567567567568055E-3</c:v>
                </c:pt>
                <c:pt idx="103">
                  <c:v>7.7324324324324813E-3</c:v>
                </c:pt>
                <c:pt idx="104">
                  <c:v>7.8072072072072531E-3</c:v>
                </c:pt>
                <c:pt idx="105">
                  <c:v>7.8819819819820319E-3</c:v>
                </c:pt>
                <c:pt idx="106">
                  <c:v>7.9576576576577077E-3</c:v>
                </c:pt>
                <c:pt idx="107">
                  <c:v>8.0324324324324795E-3</c:v>
                </c:pt>
                <c:pt idx="108">
                  <c:v>8.1081081081081554E-3</c:v>
                </c:pt>
                <c:pt idx="109">
                  <c:v>8.1828828828829307E-3</c:v>
                </c:pt>
                <c:pt idx="110">
                  <c:v>8.2576576576577059E-3</c:v>
                </c:pt>
                <c:pt idx="111">
                  <c:v>8.3324324324324812E-3</c:v>
                </c:pt>
                <c:pt idx="112">
                  <c:v>8.4081081081081536E-3</c:v>
                </c:pt>
                <c:pt idx="113">
                  <c:v>8.4828828828829323E-3</c:v>
                </c:pt>
                <c:pt idx="114">
                  <c:v>8.5576576576577041E-3</c:v>
                </c:pt>
                <c:pt idx="115">
                  <c:v>8.63333333333338E-3</c:v>
                </c:pt>
                <c:pt idx="116">
                  <c:v>8.7081081081081552E-3</c:v>
                </c:pt>
                <c:pt idx="117">
                  <c:v>8.7837837837838311E-3</c:v>
                </c:pt>
                <c:pt idx="118">
                  <c:v>8.8585585585586064E-3</c:v>
                </c:pt>
                <c:pt idx="119">
                  <c:v>8.9333333333333816E-3</c:v>
                </c:pt>
                <c:pt idx="120">
                  <c:v>9.0081081081081569E-3</c:v>
                </c:pt>
                <c:pt idx="121">
                  <c:v>9.0837837837838328E-3</c:v>
                </c:pt>
                <c:pt idx="122">
                  <c:v>9.1585585585586046E-3</c:v>
                </c:pt>
                <c:pt idx="123">
                  <c:v>9.2333333333333798E-3</c:v>
                </c:pt>
                <c:pt idx="124">
                  <c:v>9.3090090090090557E-3</c:v>
                </c:pt>
                <c:pt idx="125">
                  <c:v>9.3837837837838344E-3</c:v>
                </c:pt>
                <c:pt idx="126">
                  <c:v>9.4594594594595068E-3</c:v>
                </c:pt>
                <c:pt idx="127">
                  <c:v>9.5342342342342821E-3</c:v>
                </c:pt>
                <c:pt idx="128">
                  <c:v>9.6090090090090573E-3</c:v>
                </c:pt>
                <c:pt idx="129">
                  <c:v>9.6837837837838291E-3</c:v>
                </c:pt>
                <c:pt idx="130">
                  <c:v>9.759459459459505E-3</c:v>
                </c:pt>
                <c:pt idx="131">
                  <c:v>9.8342342342342803E-3</c:v>
                </c:pt>
                <c:pt idx="132">
                  <c:v>9.909009009009059E-3</c:v>
                </c:pt>
                <c:pt idx="133">
                  <c:v>9.9846846846847349E-3</c:v>
                </c:pt>
                <c:pt idx="134">
                  <c:v>1.0059459459459507E-2</c:v>
                </c:pt>
                <c:pt idx="135">
                  <c:v>1.0135135135135183E-2</c:v>
                </c:pt>
                <c:pt idx="136">
                  <c:v>1.0209909909909958E-2</c:v>
                </c:pt>
                <c:pt idx="137">
                  <c:v>1.028468468468473E-2</c:v>
                </c:pt>
                <c:pt idx="138">
                  <c:v>1.0359459459459508E-2</c:v>
                </c:pt>
                <c:pt idx="139">
                  <c:v>1.0435135135135184E-2</c:v>
                </c:pt>
                <c:pt idx="140">
                  <c:v>1.0509909909909959E-2</c:v>
                </c:pt>
                <c:pt idx="141">
                  <c:v>1.0584684684684731E-2</c:v>
                </c:pt>
                <c:pt idx="142">
                  <c:v>1.0660360360360407E-2</c:v>
                </c:pt>
                <c:pt idx="143">
                  <c:v>1.0735135135135182E-2</c:v>
                </c:pt>
                <c:pt idx="144">
                  <c:v>1.0810810810810858E-2</c:v>
                </c:pt>
                <c:pt idx="145">
                  <c:v>1.088558558558563E-2</c:v>
                </c:pt>
                <c:pt idx="146">
                  <c:v>1.0960360360360409E-2</c:v>
                </c:pt>
                <c:pt idx="147">
                  <c:v>1.1035135135135184E-2</c:v>
                </c:pt>
                <c:pt idx="148">
                  <c:v>1.111081081081086E-2</c:v>
                </c:pt>
                <c:pt idx="149">
                  <c:v>1.1185585585585632E-2</c:v>
                </c:pt>
                <c:pt idx="150">
                  <c:v>1.126036036036041E-2</c:v>
                </c:pt>
                <c:pt idx="151">
                  <c:v>1.1336036036036083E-2</c:v>
                </c:pt>
                <c:pt idx="152">
                  <c:v>1.1410810810810858E-2</c:v>
                </c:pt>
                <c:pt idx="153">
                  <c:v>1.1486486486486534E-2</c:v>
                </c:pt>
                <c:pt idx="154">
                  <c:v>1.1561261261261309E-2</c:v>
                </c:pt>
                <c:pt idx="155">
                  <c:v>1.1636036036036084E-2</c:v>
                </c:pt>
                <c:pt idx="156">
                  <c:v>1.1710810810810856E-2</c:v>
                </c:pt>
                <c:pt idx="157">
                  <c:v>1.1786486486486532E-2</c:v>
                </c:pt>
                <c:pt idx="158">
                  <c:v>1.1861261261261311E-2</c:v>
                </c:pt>
                <c:pt idx="159">
                  <c:v>1.1936036036036083E-2</c:v>
                </c:pt>
                <c:pt idx="160">
                  <c:v>1.2011711711711759E-2</c:v>
                </c:pt>
                <c:pt idx="161">
                  <c:v>1.2086486486486534E-2</c:v>
                </c:pt>
              </c:numCache>
            </c:numRef>
          </c:xVal>
          <c:yVal>
            <c:numRef>
              <c:f>'0_8'!$E$3:$E$165</c:f>
              <c:numCache>
                <c:formatCode>General</c:formatCode>
                <c:ptCount val="163"/>
                <c:pt idx="0">
                  <c:v>0.34883333333333333</c:v>
                </c:pt>
                <c:pt idx="1">
                  <c:v>0.41600000000000004</c:v>
                </c:pt>
                <c:pt idx="2">
                  <c:v>0.46966666666666668</c:v>
                </c:pt>
                <c:pt idx="3">
                  <c:v>0.55016666666666658</c:v>
                </c:pt>
                <c:pt idx="4">
                  <c:v>0.61733333333333329</c:v>
                </c:pt>
                <c:pt idx="5">
                  <c:v>0.69783333333333331</c:v>
                </c:pt>
                <c:pt idx="6">
                  <c:v>0.76500000000000001</c:v>
                </c:pt>
                <c:pt idx="7">
                  <c:v>0.84549999999999992</c:v>
                </c:pt>
                <c:pt idx="8">
                  <c:v>0.91266666666666663</c:v>
                </c:pt>
                <c:pt idx="9">
                  <c:v>0.99316666666666675</c:v>
                </c:pt>
                <c:pt idx="10">
                  <c:v>1.0603333333333333</c:v>
                </c:pt>
                <c:pt idx="11">
                  <c:v>1.1543333333333334</c:v>
                </c:pt>
                <c:pt idx="12">
                  <c:v>1.2213333333333334</c:v>
                </c:pt>
                <c:pt idx="13">
                  <c:v>1.2885</c:v>
                </c:pt>
                <c:pt idx="14">
                  <c:v>1.369</c:v>
                </c:pt>
                <c:pt idx="15">
                  <c:v>1.4495</c:v>
                </c:pt>
                <c:pt idx="16">
                  <c:v>1.5301666666666667</c:v>
                </c:pt>
                <c:pt idx="17">
                  <c:v>1.6106666666666667</c:v>
                </c:pt>
                <c:pt idx="18">
                  <c:v>1.6911666666666667</c:v>
                </c:pt>
                <c:pt idx="19">
                  <c:v>1.7583333333333333</c:v>
                </c:pt>
                <c:pt idx="20">
                  <c:v>1.8388333333333333</c:v>
                </c:pt>
                <c:pt idx="21">
                  <c:v>1.9193333333333333</c:v>
                </c:pt>
                <c:pt idx="22">
                  <c:v>1.9998333333333334</c:v>
                </c:pt>
                <c:pt idx="23">
                  <c:v>2.0669998333333335</c:v>
                </c:pt>
                <c:pt idx="24">
                  <c:v>2.1475</c:v>
                </c:pt>
                <c:pt idx="25">
                  <c:v>2.2280000000000002</c:v>
                </c:pt>
                <c:pt idx="26">
                  <c:v>2.3086666666666669</c:v>
                </c:pt>
                <c:pt idx="27">
                  <c:v>2.3756668333333333</c:v>
                </c:pt>
                <c:pt idx="28">
                  <c:v>2.4561668333333335</c:v>
                </c:pt>
                <c:pt idx="29">
                  <c:v>2.5368333333333335</c:v>
                </c:pt>
                <c:pt idx="30">
                  <c:v>2.6173333333333333</c:v>
                </c:pt>
                <c:pt idx="31">
                  <c:v>2.6844999999999999</c:v>
                </c:pt>
                <c:pt idx="32">
                  <c:v>2.7650001666666668</c:v>
                </c:pt>
                <c:pt idx="33">
                  <c:v>2.8454998333333332</c:v>
                </c:pt>
                <c:pt idx="34">
                  <c:v>2.9126666666666665</c:v>
                </c:pt>
                <c:pt idx="35">
                  <c:v>2.9931666666666668</c:v>
                </c:pt>
                <c:pt idx="36">
                  <c:v>3.0736666666666665</c:v>
                </c:pt>
                <c:pt idx="37">
                  <c:v>3.1541666666666668</c:v>
                </c:pt>
                <c:pt idx="38">
                  <c:v>3.2213333333333334</c:v>
                </c:pt>
                <c:pt idx="39">
                  <c:v>3.3018333333333336</c:v>
                </c:pt>
                <c:pt idx="40">
                  <c:v>3.3823333333333334</c:v>
                </c:pt>
                <c:pt idx="41">
                  <c:v>3.4630000000000001</c:v>
                </c:pt>
                <c:pt idx="42">
                  <c:v>3.5300001666666665</c:v>
                </c:pt>
                <c:pt idx="43">
                  <c:v>3.6104998333333334</c:v>
                </c:pt>
                <c:pt idx="44">
                  <c:v>3.6911666666666667</c:v>
                </c:pt>
                <c:pt idx="45">
                  <c:v>3.7581666666666669</c:v>
                </c:pt>
                <c:pt idx="46">
                  <c:v>3.8388334999999998</c:v>
                </c:pt>
                <c:pt idx="47">
                  <c:v>3.9193331666666666</c:v>
                </c:pt>
                <c:pt idx="48">
                  <c:v>3.9863335000000002</c:v>
                </c:pt>
                <c:pt idx="49">
                  <c:v>4.0670000000000002</c:v>
                </c:pt>
                <c:pt idx="50">
                  <c:v>4.1474998333333328</c:v>
                </c:pt>
                <c:pt idx="51">
                  <c:v>4.2279999999999998</c:v>
                </c:pt>
                <c:pt idx="52">
                  <c:v>4.2951664999999997</c:v>
                </c:pt>
                <c:pt idx="53">
                  <c:v>4.3756668333333328</c:v>
                </c:pt>
                <c:pt idx="54">
                  <c:v>4.4428333333333336</c:v>
                </c:pt>
                <c:pt idx="55">
                  <c:v>4.5098331666666667</c:v>
                </c:pt>
                <c:pt idx="56">
                  <c:v>4.5905001666666667</c:v>
                </c:pt>
                <c:pt idx="57">
                  <c:v>4.6574999999999998</c:v>
                </c:pt>
                <c:pt idx="58">
                  <c:v>4.7380001666666667</c:v>
                </c:pt>
                <c:pt idx="59">
                  <c:v>4.8051666666666666</c:v>
                </c:pt>
                <c:pt idx="60">
                  <c:v>4.8856665000000001</c:v>
                </c:pt>
                <c:pt idx="61">
                  <c:v>4.9528334999999997</c:v>
                </c:pt>
                <c:pt idx="62">
                  <c:v>5.0199999999999996</c:v>
                </c:pt>
                <c:pt idx="63">
                  <c:v>5.1004998333333331</c:v>
                </c:pt>
                <c:pt idx="64">
                  <c:v>5.1676668333333327</c:v>
                </c:pt>
                <c:pt idx="65">
                  <c:v>5.2346666666666666</c:v>
                </c:pt>
                <c:pt idx="66">
                  <c:v>5.3151668333333335</c:v>
                </c:pt>
                <c:pt idx="67">
                  <c:v>5.395833333333333</c:v>
                </c:pt>
                <c:pt idx="68">
                  <c:v>5.462833166666667</c:v>
                </c:pt>
                <c:pt idx="69">
                  <c:v>5.5435001666666661</c:v>
                </c:pt>
                <c:pt idx="70">
                  <c:v>5.6105</c:v>
                </c:pt>
                <c:pt idx="71">
                  <c:v>5.6776664999999999</c:v>
                </c:pt>
                <c:pt idx="72">
                  <c:v>5.7581668333333331</c:v>
                </c:pt>
                <c:pt idx="73">
                  <c:v>5.8386665000000004</c:v>
                </c:pt>
                <c:pt idx="74">
                  <c:v>5.9058335</c:v>
                </c:pt>
                <c:pt idx="75">
                  <c:v>5.9729999999999999</c:v>
                </c:pt>
                <c:pt idx="76">
                  <c:v>6.0534998333333334</c:v>
                </c:pt>
                <c:pt idx="77">
                  <c:v>6.1206668333333329</c:v>
                </c:pt>
                <c:pt idx="78">
                  <c:v>6.1876666666666669</c:v>
                </c:pt>
                <c:pt idx="79">
                  <c:v>6.2681665000000004</c:v>
                </c:pt>
                <c:pt idx="80">
                  <c:v>6.3353335</c:v>
                </c:pt>
                <c:pt idx="81">
                  <c:v>6.4158333333333335</c:v>
                </c:pt>
                <c:pt idx="82">
                  <c:v>6.4829998333333334</c:v>
                </c:pt>
                <c:pt idx="83">
                  <c:v>6.5501668333333338</c:v>
                </c:pt>
                <c:pt idx="84">
                  <c:v>6.6306665000000002</c:v>
                </c:pt>
                <c:pt idx="85">
                  <c:v>6.6978334999999998</c:v>
                </c:pt>
                <c:pt idx="86">
                  <c:v>6.7648333333333328</c:v>
                </c:pt>
                <c:pt idx="87">
                  <c:v>6.8319998333333327</c:v>
                </c:pt>
                <c:pt idx="88">
                  <c:v>6.899166833333334</c:v>
                </c:pt>
                <c:pt idx="89">
                  <c:v>6.9796666666666658</c:v>
                </c:pt>
                <c:pt idx="90">
                  <c:v>7.0466664999999997</c:v>
                </c:pt>
                <c:pt idx="91">
                  <c:v>7.1138335000000001</c:v>
                </c:pt>
                <c:pt idx="92">
                  <c:v>7.181</c:v>
                </c:pt>
                <c:pt idx="93">
                  <c:v>7.2481665</c:v>
                </c:pt>
                <c:pt idx="94">
                  <c:v>7.3151668333333335</c:v>
                </c:pt>
                <c:pt idx="95">
                  <c:v>7.3823333333333334</c:v>
                </c:pt>
                <c:pt idx="96">
                  <c:v>7.4628335000000003</c:v>
                </c:pt>
                <c:pt idx="97">
                  <c:v>7.53</c:v>
                </c:pt>
                <c:pt idx="98">
                  <c:v>7.5836666666666668</c:v>
                </c:pt>
                <c:pt idx="99">
                  <c:v>7.6508331666666667</c:v>
                </c:pt>
                <c:pt idx="100">
                  <c:v>7.7178333333333331</c:v>
                </c:pt>
                <c:pt idx="101">
                  <c:v>7.7715000000000005</c:v>
                </c:pt>
                <c:pt idx="102">
                  <c:v>7.8386665000000004</c:v>
                </c:pt>
                <c:pt idx="103">
                  <c:v>7.9191661666666668</c:v>
                </c:pt>
                <c:pt idx="104">
                  <c:v>7.9728336666666673</c:v>
                </c:pt>
                <c:pt idx="105">
                  <c:v>8.0399998333333329</c:v>
                </c:pt>
                <c:pt idx="106">
                  <c:v>8.0936663333333332</c:v>
                </c:pt>
                <c:pt idx="107">
                  <c:v>8.1608333333333327</c:v>
                </c:pt>
                <c:pt idx="108">
                  <c:v>8.228000333333334</c:v>
                </c:pt>
                <c:pt idx="109">
                  <c:v>8.2949996666666657</c:v>
                </c:pt>
                <c:pt idx="110">
                  <c:v>8.3486670000000007</c:v>
                </c:pt>
                <c:pt idx="111">
                  <c:v>8.4025003333333323</c:v>
                </c:pt>
                <c:pt idx="112">
                  <c:v>8.4694996666666675</c:v>
                </c:pt>
                <c:pt idx="113">
                  <c:v>8.5366666666666671</c:v>
                </c:pt>
                <c:pt idx="114">
                  <c:v>8.5903331666666656</c:v>
                </c:pt>
                <c:pt idx="115">
                  <c:v>8.6439996666666676</c:v>
                </c:pt>
                <c:pt idx="116">
                  <c:v>8.6976661666666661</c:v>
                </c:pt>
                <c:pt idx="117">
                  <c:v>8.7648331666666675</c:v>
                </c:pt>
                <c:pt idx="118">
                  <c:v>8.818499666666666</c:v>
                </c:pt>
                <c:pt idx="119">
                  <c:v>8.8721663333333325</c:v>
                </c:pt>
                <c:pt idx="120">
                  <c:v>8.9258336666666676</c:v>
                </c:pt>
                <c:pt idx="121">
                  <c:v>8.979667000000001</c:v>
                </c:pt>
                <c:pt idx="122">
                  <c:v>9.0333334999999995</c:v>
                </c:pt>
                <c:pt idx="123">
                  <c:v>9.1003338333333339</c:v>
                </c:pt>
                <c:pt idx="124">
                  <c:v>9.1406665</c:v>
                </c:pt>
                <c:pt idx="125">
                  <c:v>9.1943331666666666</c:v>
                </c:pt>
                <c:pt idx="126">
                  <c:v>9.2479996666666668</c:v>
                </c:pt>
                <c:pt idx="127">
                  <c:v>9.3016671666666664</c:v>
                </c:pt>
                <c:pt idx="128">
                  <c:v>9.3555003333333335</c:v>
                </c:pt>
                <c:pt idx="129">
                  <c:v>9.4091668333333338</c:v>
                </c:pt>
                <c:pt idx="130">
                  <c:v>9.4493329999999993</c:v>
                </c:pt>
                <c:pt idx="131">
                  <c:v>9.5030003333333344</c:v>
                </c:pt>
                <c:pt idx="132">
                  <c:v>9.5433331666666668</c:v>
                </c:pt>
                <c:pt idx="133">
                  <c:v>9.596999666666667</c:v>
                </c:pt>
                <c:pt idx="134">
                  <c:v>9.6506663333333336</c:v>
                </c:pt>
                <c:pt idx="135">
                  <c:v>9.6910000000000007</c:v>
                </c:pt>
                <c:pt idx="136">
                  <c:v>9.7446664999999992</c:v>
                </c:pt>
                <c:pt idx="137">
                  <c:v>9.7850001666666664</c:v>
                </c:pt>
                <c:pt idx="138">
                  <c:v>9.8251663333333337</c:v>
                </c:pt>
                <c:pt idx="139">
                  <c:v>9.865499999999999</c:v>
                </c:pt>
                <c:pt idx="140">
                  <c:v>9.9191664999999993</c:v>
                </c:pt>
                <c:pt idx="141">
                  <c:v>9.9459998333333335</c:v>
                </c:pt>
                <c:pt idx="142">
                  <c:v>9.9863335000000006</c:v>
                </c:pt>
                <c:pt idx="143">
                  <c:v>10.026499666666666</c:v>
                </c:pt>
                <c:pt idx="144">
                  <c:v>10.066833333333333</c:v>
                </c:pt>
                <c:pt idx="145">
                  <c:v>10.107167</c:v>
                </c:pt>
                <c:pt idx="146">
                  <c:v>10.134000333333335</c:v>
                </c:pt>
                <c:pt idx="147">
                  <c:v>10.174166333333334</c:v>
                </c:pt>
                <c:pt idx="148">
                  <c:v>10.200999666666666</c:v>
                </c:pt>
                <c:pt idx="149">
                  <c:v>10.227833</c:v>
                </c:pt>
                <c:pt idx="150">
                  <c:v>10.254666166666668</c:v>
                </c:pt>
                <c:pt idx="151">
                  <c:v>10.281500333333334</c:v>
                </c:pt>
                <c:pt idx="152">
                  <c:v>10.308500333333335</c:v>
                </c:pt>
                <c:pt idx="153">
                  <c:v>10.321833166666666</c:v>
                </c:pt>
                <c:pt idx="154">
                  <c:v>10.335333666666665</c:v>
                </c:pt>
                <c:pt idx="155">
                  <c:v>10.3486665</c:v>
                </c:pt>
                <c:pt idx="156">
                  <c:v>10.362166833333333</c:v>
                </c:pt>
                <c:pt idx="157">
                  <c:v>10.362166833333333</c:v>
                </c:pt>
                <c:pt idx="158">
                  <c:v>10.3486665</c:v>
                </c:pt>
                <c:pt idx="159">
                  <c:v>10.335333666666665</c:v>
                </c:pt>
                <c:pt idx="160">
                  <c:v>10.295</c:v>
                </c:pt>
                <c:pt idx="161">
                  <c:v>10.227833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58-43C3-861D-B5713C2AC8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17856"/>
        <c:axId val="100144480"/>
      </c:scatterChart>
      <c:valAx>
        <c:axId val="100117856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/>
                  <a:t>Strain, </a:t>
                </a:r>
                <a:r>
                  <a:rPr lang="el-GR" sz="1050"/>
                  <a:t>ε</a:t>
                </a:r>
                <a:endParaRPr lang="en-US" sz="1050"/>
              </a:p>
            </c:rich>
          </c:tx>
          <c:layout>
            <c:manualLayout>
              <c:xMode val="edge"/>
              <c:yMode val="edge"/>
              <c:x val="0.44270013123359575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44480"/>
        <c:crosses val="autoZero"/>
        <c:crossBetween val="midCat"/>
      </c:valAx>
      <c:valAx>
        <c:axId val="100144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Stress, σ (Mpa)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0.3096179644211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Stress</a:t>
            </a:r>
            <a:r>
              <a:rPr lang="en-US" baseline="0"/>
              <a:t> vs Strain</a:t>
            </a:r>
            <a:endParaRPr lang="en-US"/>
          </a:p>
        </c:rich>
      </c:tx>
      <c:layout>
        <c:manualLayout>
          <c:xMode val="edge"/>
          <c:yMode val="edge"/>
          <c:x val="0.4016666666666666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'0_9'!$D$3:$D$150</c:f>
              <c:numCache>
                <c:formatCode>General</c:formatCode>
                <c:ptCount val="148"/>
                <c:pt idx="0">
                  <c:v>0</c:v>
                </c:pt>
                <c:pt idx="1">
                  <c:v>7.5675675675648119E-5</c:v>
                </c:pt>
                <c:pt idx="2">
                  <c:v>1.5045045045042338E-4</c:v>
                </c:pt>
                <c:pt idx="3">
                  <c:v>2.2612612612609925E-4</c:v>
                </c:pt>
                <c:pt idx="4">
                  <c:v>3.0090090090087451E-4</c:v>
                </c:pt>
                <c:pt idx="5">
                  <c:v>3.7567567567564977E-4</c:v>
                </c:pt>
                <c:pt idx="6">
                  <c:v>4.5135135135132565E-4</c:v>
                </c:pt>
                <c:pt idx="7">
                  <c:v>5.2612612612609744E-4</c:v>
                </c:pt>
                <c:pt idx="8">
                  <c:v>6.0090090090087617E-4</c:v>
                </c:pt>
                <c:pt idx="9">
                  <c:v>6.7567567567564796E-4</c:v>
                </c:pt>
                <c:pt idx="10">
                  <c:v>7.5135135135132383E-4</c:v>
                </c:pt>
                <c:pt idx="11">
                  <c:v>8.2612612612609909E-4</c:v>
                </c:pt>
                <c:pt idx="12">
                  <c:v>9.0180180180177497E-4</c:v>
                </c:pt>
                <c:pt idx="13">
                  <c:v>9.7657657657655023E-4</c:v>
                </c:pt>
                <c:pt idx="14">
                  <c:v>1.051351351351322E-3</c:v>
                </c:pt>
                <c:pt idx="15">
                  <c:v>1.1270270270269979E-3</c:v>
                </c:pt>
                <c:pt idx="16">
                  <c:v>1.2018018018017766E-3</c:v>
                </c:pt>
                <c:pt idx="17">
                  <c:v>1.2765765765765484E-3</c:v>
                </c:pt>
                <c:pt idx="18">
                  <c:v>1.3513513513513237E-3</c:v>
                </c:pt>
                <c:pt idx="19">
                  <c:v>1.4270270270269995E-3</c:v>
                </c:pt>
                <c:pt idx="20">
                  <c:v>1.5018018018017748E-3</c:v>
                </c:pt>
                <c:pt idx="21">
                  <c:v>1.5774774774774507E-3</c:v>
                </c:pt>
                <c:pt idx="22">
                  <c:v>1.6522522522522259E-3</c:v>
                </c:pt>
                <c:pt idx="23">
                  <c:v>1.7270270270270012E-3</c:v>
                </c:pt>
                <c:pt idx="24">
                  <c:v>1.8027027027026771E-3</c:v>
                </c:pt>
                <c:pt idx="25">
                  <c:v>1.8774774774774489E-3</c:v>
                </c:pt>
                <c:pt idx="26">
                  <c:v>1.9522522522522241E-3</c:v>
                </c:pt>
                <c:pt idx="27">
                  <c:v>2.0270270270270029E-3</c:v>
                </c:pt>
                <c:pt idx="28">
                  <c:v>2.1027027027026787E-3</c:v>
                </c:pt>
                <c:pt idx="29">
                  <c:v>2.1774774774774505E-3</c:v>
                </c:pt>
                <c:pt idx="30">
                  <c:v>2.2531531531531264E-3</c:v>
                </c:pt>
                <c:pt idx="31">
                  <c:v>2.3279279279279017E-3</c:v>
                </c:pt>
                <c:pt idx="32">
                  <c:v>2.4027027027026734E-3</c:v>
                </c:pt>
                <c:pt idx="33">
                  <c:v>2.4783783783783493E-3</c:v>
                </c:pt>
                <c:pt idx="34">
                  <c:v>2.5531531531531246E-3</c:v>
                </c:pt>
                <c:pt idx="35">
                  <c:v>2.6279279279279033E-3</c:v>
                </c:pt>
                <c:pt idx="36">
                  <c:v>2.7027027027026751E-3</c:v>
                </c:pt>
                <c:pt idx="37">
                  <c:v>2.778378378378351E-3</c:v>
                </c:pt>
                <c:pt idx="38">
                  <c:v>2.8531531531531262E-3</c:v>
                </c:pt>
                <c:pt idx="39">
                  <c:v>2.9288288288288021E-3</c:v>
                </c:pt>
                <c:pt idx="40">
                  <c:v>3.0036036036035739E-3</c:v>
                </c:pt>
                <c:pt idx="41">
                  <c:v>3.0783783783783526E-3</c:v>
                </c:pt>
                <c:pt idx="42">
                  <c:v>3.154054054054025E-3</c:v>
                </c:pt>
                <c:pt idx="43">
                  <c:v>3.2288288288288038E-3</c:v>
                </c:pt>
                <c:pt idx="44">
                  <c:v>3.3036036036035756E-3</c:v>
                </c:pt>
                <c:pt idx="45">
                  <c:v>3.3783783783783508E-3</c:v>
                </c:pt>
                <c:pt idx="46">
                  <c:v>3.4540540540540267E-3</c:v>
                </c:pt>
                <c:pt idx="47">
                  <c:v>3.5288288288288019E-3</c:v>
                </c:pt>
                <c:pt idx="48">
                  <c:v>3.6045045045044743E-3</c:v>
                </c:pt>
                <c:pt idx="49">
                  <c:v>3.6792792792792531E-3</c:v>
                </c:pt>
                <c:pt idx="50">
                  <c:v>3.7540540540540283E-3</c:v>
                </c:pt>
                <c:pt idx="51">
                  <c:v>3.8297297297297042E-3</c:v>
                </c:pt>
                <c:pt idx="52">
                  <c:v>3.904504504504476E-3</c:v>
                </c:pt>
                <c:pt idx="53">
                  <c:v>3.9792792792792547E-3</c:v>
                </c:pt>
                <c:pt idx="54">
                  <c:v>4.0540540540540265E-3</c:v>
                </c:pt>
                <c:pt idx="55">
                  <c:v>4.1297297297297024E-3</c:v>
                </c:pt>
                <c:pt idx="56">
                  <c:v>4.2045045045044777E-3</c:v>
                </c:pt>
                <c:pt idx="57">
                  <c:v>4.2801801801801535E-3</c:v>
                </c:pt>
                <c:pt idx="58">
                  <c:v>4.3549549549549288E-3</c:v>
                </c:pt>
                <c:pt idx="59">
                  <c:v>4.4297297297297006E-3</c:v>
                </c:pt>
                <c:pt idx="60">
                  <c:v>4.5054054054053765E-3</c:v>
                </c:pt>
                <c:pt idx="61">
                  <c:v>4.5801801801801552E-3</c:v>
                </c:pt>
                <c:pt idx="62">
                  <c:v>4.654954954954927E-3</c:v>
                </c:pt>
                <c:pt idx="63">
                  <c:v>4.7297297297297022E-3</c:v>
                </c:pt>
                <c:pt idx="64">
                  <c:v>4.8054054054053781E-3</c:v>
                </c:pt>
                <c:pt idx="65">
                  <c:v>4.8801801801801534E-3</c:v>
                </c:pt>
                <c:pt idx="66">
                  <c:v>4.9558558558558292E-3</c:v>
                </c:pt>
                <c:pt idx="67">
                  <c:v>5.030630630630601E-3</c:v>
                </c:pt>
                <c:pt idx="68">
                  <c:v>5.1054054054053798E-3</c:v>
                </c:pt>
                <c:pt idx="69">
                  <c:v>5.1810810810810556E-3</c:v>
                </c:pt>
                <c:pt idx="70">
                  <c:v>5.2558558558558274E-3</c:v>
                </c:pt>
                <c:pt idx="71">
                  <c:v>5.3306306306306027E-3</c:v>
                </c:pt>
                <c:pt idx="72">
                  <c:v>5.4054054054053814E-3</c:v>
                </c:pt>
                <c:pt idx="73">
                  <c:v>5.4810810810810538E-3</c:v>
                </c:pt>
                <c:pt idx="74">
                  <c:v>5.5558558558558291E-3</c:v>
                </c:pt>
                <c:pt idx="75">
                  <c:v>5.6306306306306043E-3</c:v>
                </c:pt>
                <c:pt idx="76">
                  <c:v>5.7063063063062802E-3</c:v>
                </c:pt>
                <c:pt idx="77">
                  <c:v>5.781081081081052E-3</c:v>
                </c:pt>
                <c:pt idx="78">
                  <c:v>5.8567567567567279E-3</c:v>
                </c:pt>
                <c:pt idx="79">
                  <c:v>5.9315315315315031E-3</c:v>
                </c:pt>
                <c:pt idx="80">
                  <c:v>6.0063063063062819E-3</c:v>
                </c:pt>
                <c:pt idx="81">
                  <c:v>6.0810810810810537E-3</c:v>
                </c:pt>
                <c:pt idx="82">
                  <c:v>6.1567567567567295E-3</c:v>
                </c:pt>
                <c:pt idx="83">
                  <c:v>6.2315315315315048E-3</c:v>
                </c:pt>
                <c:pt idx="84">
                  <c:v>6.3063063063062766E-3</c:v>
                </c:pt>
                <c:pt idx="85">
                  <c:v>6.3819819819819525E-3</c:v>
                </c:pt>
                <c:pt idx="86">
                  <c:v>6.4567567567567312E-3</c:v>
                </c:pt>
                <c:pt idx="87">
                  <c:v>6.5324324324324036E-3</c:v>
                </c:pt>
                <c:pt idx="88">
                  <c:v>6.6072072072071823E-3</c:v>
                </c:pt>
                <c:pt idx="89">
                  <c:v>6.6819819819819541E-3</c:v>
                </c:pt>
                <c:pt idx="90">
                  <c:v>6.7567567567567294E-3</c:v>
                </c:pt>
                <c:pt idx="91">
                  <c:v>6.8324324324324053E-3</c:v>
                </c:pt>
                <c:pt idx="92">
                  <c:v>6.907207207207177E-3</c:v>
                </c:pt>
                <c:pt idx="93">
                  <c:v>6.9819819819819558E-3</c:v>
                </c:pt>
                <c:pt idx="94">
                  <c:v>7.056756756756731E-3</c:v>
                </c:pt>
                <c:pt idx="95">
                  <c:v>7.1324324324324069E-3</c:v>
                </c:pt>
                <c:pt idx="96">
                  <c:v>7.2081081081080828E-3</c:v>
                </c:pt>
                <c:pt idx="97">
                  <c:v>7.2828828828828546E-3</c:v>
                </c:pt>
                <c:pt idx="98">
                  <c:v>7.3576576576576298E-3</c:v>
                </c:pt>
                <c:pt idx="99">
                  <c:v>7.4324324324324051E-3</c:v>
                </c:pt>
                <c:pt idx="100">
                  <c:v>7.508108108108081E-3</c:v>
                </c:pt>
                <c:pt idx="101">
                  <c:v>7.5828828828828562E-3</c:v>
                </c:pt>
                <c:pt idx="102">
                  <c:v>7.6576576576576315E-3</c:v>
                </c:pt>
                <c:pt idx="103">
                  <c:v>7.7324324324324033E-3</c:v>
                </c:pt>
                <c:pt idx="104">
                  <c:v>7.8081081081080791E-3</c:v>
                </c:pt>
                <c:pt idx="105">
                  <c:v>7.883783783783755E-3</c:v>
                </c:pt>
                <c:pt idx="106">
                  <c:v>7.9585585585585338E-3</c:v>
                </c:pt>
                <c:pt idx="107">
                  <c:v>8.0333333333333055E-3</c:v>
                </c:pt>
                <c:pt idx="108">
                  <c:v>8.1081081081080808E-3</c:v>
                </c:pt>
                <c:pt idx="109">
                  <c:v>8.1837837837837567E-3</c:v>
                </c:pt>
                <c:pt idx="110">
                  <c:v>8.2585585585585319E-3</c:v>
                </c:pt>
                <c:pt idx="111">
                  <c:v>8.3333333333333072E-3</c:v>
                </c:pt>
                <c:pt idx="112">
                  <c:v>8.4081081081080825E-3</c:v>
                </c:pt>
                <c:pt idx="113">
                  <c:v>8.4837837837837583E-3</c:v>
                </c:pt>
                <c:pt idx="114">
                  <c:v>8.5594594594594342E-3</c:v>
                </c:pt>
                <c:pt idx="115">
                  <c:v>8.634234234234206E-3</c:v>
                </c:pt>
                <c:pt idx="116">
                  <c:v>8.7090090090089813E-3</c:v>
                </c:pt>
                <c:pt idx="117">
                  <c:v>8.78378378378376E-3</c:v>
                </c:pt>
                <c:pt idx="118">
                  <c:v>8.8594594594594324E-3</c:v>
                </c:pt>
                <c:pt idx="119">
                  <c:v>8.9342342342342076E-3</c:v>
                </c:pt>
                <c:pt idx="120">
                  <c:v>9.0090090090089829E-3</c:v>
                </c:pt>
                <c:pt idx="121">
                  <c:v>9.0837837837837547E-3</c:v>
                </c:pt>
                <c:pt idx="122">
                  <c:v>9.1594594594594306E-3</c:v>
                </c:pt>
                <c:pt idx="123">
                  <c:v>9.2351351351351064E-3</c:v>
                </c:pt>
                <c:pt idx="124">
                  <c:v>9.3099099099098817E-3</c:v>
                </c:pt>
                <c:pt idx="125">
                  <c:v>9.3846846846846604E-3</c:v>
                </c:pt>
                <c:pt idx="126">
                  <c:v>9.4594594594594322E-3</c:v>
                </c:pt>
                <c:pt idx="127">
                  <c:v>9.5351351351351081E-3</c:v>
                </c:pt>
                <c:pt idx="128">
                  <c:v>9.6099099099098834E-3</c:v>
                </c:pt>
                <c:pt idx="129">
                  <c:v>9.6846846846846552E-3</c:v>
                </c:pt>
                <c:pt idx="130">
                  <c:v>9.7594594594594339E-3</c:v>
                </c:pt>
                <c:pt idx="131">
                  <c:v>9.8351351351351098E-3</c:v>
                </c:pt>
                <c:pt idx="132">
                  <c:v>9.9108108108107822E-3</c:v>
                </c:pt>
                <c:pt idx="133">
                  <c:v>9.9855855855855609E-3</c:v>
                </c:pt>
                <c:pt idx="134">
                  <c:v>1.0060360360360333E-2</c:v>
                </c:pt>
                <c:pt idx="135">
                  <c:v>1.0135135135135108E-2</c:v>
                </c:pt>
                <c:pt idx="136">
                  <c:v>1.0210810810810784E-2</c:v>
                </c:pt>
                <c:pt idx="137">
                  <c:v>1.0285585585585556E-2</c:v>
                </c:pt>
                <c:pt idx="138">
                  <c:v>1.0360360360360334E-2</c:v>
                </c:pt>
                <c:pt idx="139">
                  <c:v>1.043513513513511E-2</c:v>
                </c:pt>
                <c:pt idx="140">
                  <c:v>1.0510810810810785E-2</c:v>
                </c:pt>
                <c:pt idx="141">
                  <c:v>1.0586486486486461E-2</c:v>
                </c:pt>
                <c:pt idx="142">
                  <c:v>1.0661261261261233E-2</c:v>
                </c:pt>
                <c:pt idx="143">
                  <c:v>1.0736036036036008E-2</c:v>
                </c:pt>
                <c:pt idx="144">
                  <c:v>1.0810810810810784E-2</c:v>
                </c:pt>
                <c:pt idx="145">
                  <c:v>1.0886486486486456E-2</c:v>
                </c:pt>
              </c:numCache>
            </c:numRef>
          </c:xVal>
          <c:yVal>
            <c:numRef>
              <c:f>'0_9'!$E$3:$E$150</c:f>
              <c:numCache>
                <c:formatCode>General</c:formatCode>
                <c:ptCount val="148"/>
                <c:pt idx="0">
                  <c:v>0.26833333333333337</c:v>
                </c:pt>
                <c:pt idx="1">
                  <c:v>0.33549999999999996</c:v>
                </c:pt>
                <c:pt idx="2">
                  <c:v>0.40266666666666667</c:v>
                </c:pt>
                <c:pt idx="3">
                  <c:v>0.48316666666666663</c:v>
                </c:pt>
                <c:pt idx="4">
                  <c:v>0.55016666666666658</c:v>
                </c:pt>
                <c:pt idx="5">
                  <c:v>0.61733333333333329</c:v>
                </c:pt>
                <c:pt idx="6">
                  <c:v>0.69783333333333331</c:v>
                </c:pt>
                <c:pt idx="7">
                  <c:v>0.77849999999999997</c:v>
                </c:pt>
                <c:pt idx="8">
                  <c:v>0.85899999999999999</c:v>
                </c:pt>
                <c:pt idx="9">
                  <c:v>0.9395</c:v>
                </c:pt>
                <c:pt idx="10">
                  <c:v>1.02</c:v>
                </c:pt>
                <c:pt idx="11">
                  <c:v>1.1005</c:v>
                </c:pt>
                <c:pt idx="12">
                  <c:v>1.1811666666666667</c:v>
                </c:pt>
                <c:pt idx="13">
                  <c:v>1.2749999999999999</c:v>
                </c:pt>
                <c:pt idx="14">
                  <c:v>1.3556666666666668</c:v>
                </c:pt>
                <c:pt idx="15">
                  <c:v>1.4361666666666666</c:v>
                </c:pt>
                <c:pt idx="16">
                  <c:v>1.5301666666666667</c:v>
                </c:pt>
                <c:pt idx="17">
                  <c:v>1.6106666666666667</c:v>
                </c:pt>
                <c:pt idx="18">
                  <c:v>1.6911666666666667</c:v>
                </c:pt>
                <c:pt idx="19">
                  <c:v>1.7851666666666666</c:v>
                </c:pt>
                <c:pt idx="20">
                  <c:v>1.8656666666666666</c:v>
                </c:pt>
                <c:pt idx="21">
                  <c:v>1.9461666666666666</c:v>
                </c:pt>
                <c:pt idx="22">
                  <c:v>2.0266666666666664</c:v>
                </c:pt>
                <c:pt idx="23">
                  <c:v>2.1206666666666667</c:v>
                </c:pt>
                <c:pt idx="24">
                  <c:v>2.2011666666666665</c:v>
                </c:pt>
                <c:pt idx="25">
                  <c:v>2.2816666666666667</c:v>
                </c:pt>
                <c:pt idx="26">
                  <c:v>2.3623331666666667</c:v>
                </c:pt>
                <c:pt idx="27">
                  <c:v>2.4561668333333335</c:v>
                </c:pt>
                <c:pt idx="28">
                  <c:v>2.5368333333333335</c:v>
                </c:pt>
                <c:pt idx="29">
                  <c:v>2.6173333333333333</c:v>
                </c:pt>
                <c:pt idx="30">
                  <c:v>2.6978333333333335</c:v>
                </c:pt>
                <c:pt idx="31">
                  <c:v>2.7918333333333334</c:v>
                </c:pt>
                <c:pt idx="32">
                  <c:v>2.8723333333333332</c:v>
                </c:pt>
                <c:pt idx="33">
                  <c:v>2.9528334999999997</c:v>
                </c:pt>
                <c:pt idx="34">
                  <c:v>3.0333331666666665</c:v>
                </c:pt>
                <c:pt idx="35">
                  <c:v>3.1273331666666668</c:v>
                </c:pt>
                <c:pt idx="36">
                  <c:v>3.2078333333333333</c:v>
                </c:pt>
                <c:pt idx="37">
                  <c:v>3.2885</c:v>
                </c:pt>
                <c:pt idx="38">
                  <c:v>3.3823333333333334</c:v>
                </c:pt>
                <c:pt idx="39">
                  <c:v>3.4630000000000001</c:v>
                </c:pt>
                <c:pt idx="40">
                  <c:v>3.5435001666666666</c:v>
                </c:pt>
                <c:pt idx="41">
                  <c:v>3.6239998333333334</c:v>
                </c:pt>
                <c:pt idx="42">
                  <c:v>3.7045000000000003</c:v>
                </c:pt>
                <c:pt idx="43">
                  <c:v>3.7849999999999997</c:v>
                </c:pt>
                <c:pt idx="44">
                  <c:v>3.879</c:v>
                </c:pt>
                <c:pt idx="45">
                  <c:v>3.9595001666666665</c:v>
                </c:pt>
                <c:pt idx="46">
                  <c:v>4.0401666666666669</c:v>
                </c:pt>
                <c:pt idx="47">
                  <c:v>4.1206665000000005</c:v>
                </c:pt>
                <c:pt idx="48">
                  <c:v>4.2011668333333336</c:v>
                </c:pt>
                <c:pt idx="49">
                  <c:v>4.2816666666666663</c:v>
                </c:pt>
                <c:pt idx="50">
                  <c:v>4.3621668333333332</c:v>
                </c:pt>
                <c:pt idx="51">
                  <c:v>4.4428333333333336</c:v>
                </c:pt>
                <c:pt idx="52">
                  <c:v>4.5233331666666663</c:v>
                </c:pt>
                <c:pt idx="53">
                  <c:v>4.6038334999999995</c:v>
                </c:pt>
                <c:pt idx="54">
                  <c:v>4.6843331666666668</c:v>
                </c:pt>
                <c:pt idx="55">
                  <c:v>4.7648334999999999</c:v>
                </c:pt>
                <c:pt idx="56">
                  <c:v>4.8455000000000004</c:v>
                </c:pt>
                <c:pt idx="57">
                  <c:v>4.9259998333333339</c:v>
                </c:pt>
                <c:pt idx="58">
                  <c:v>5.0199999999999996</c:v>
                </c:pt>
                <c:pt idx="59">
                  <c:v>5.0869998333333335</c:v>
                </c:pt>
                <c:pt idx="60">
                  <c:v>5.1810001666666663</c:v>
                </c:pt>
                <c:pt idx="61">
                  <c:v>5.2481666666666662</c:v>
                </c:pt>
                <c:pt idx="62">
                  <c:v>5.3286668333333331</c:v>
                </c:pt>
                <c:pt idx="63">
                  <c:v>5.4091666666666667</c:v>
                </c:pt>
                <c:pt idx="64">
                  <c:v>5.4896665000000002</c:v>
                </c:pt>
                <c:pt idx="65">
                  <c:v>5.5703335000000003</c:v>
                </c:pt>
                <c:pt idx="66">
                  <c:v>5.6508331666666667</c:v>
                </c:pt>
                <c:pt idx="67">
                  <c:v>5.7313335000000007</c:v>
                </c:pt>
                <c:pt idx="68">
                  <c:v>5.8118333333333334</c:v>
                </c:pt>
                <c:pt idx="69">
                  <c:v>5.8789998333333333</c:v>
                </c:pt>
                <c:pt idx="70">
                  <c:v>5.9595001666666674</c:v>
                </c:pt>
                <c:pt idx="71">
                  <c:v>6.0399998333333338</c:v>
                </c:pt>
                <c:pt idx="72">
                  <c:v>6.1071668333333333</c:v>
                </c:pt>
                <c:pt idx="73">
                  <c:v>6.1876666666666669</c:v>
                </c:pt>
                <c:pt idx="74">
                  <c:v>6.2548331666666668</c:v>
                </c:pt>
                <c:pt idx="75">
                  <c:v>6.3353335</c:v>
                </c:pt>
                <c:pt idx="76">
                  <c:v>6.4024999999999999</c:v>
                </c:pt>
                <c:pt idx="77">
                  <c:v>6.4829998333333334</c:v>
                </c:pt>
                <c:pt idx="78">
                  <c:v>6.5635000000000003</c:v>
                </c:pt>
                <c:pt idx="79">
                  <c:v>6.6306665000000002</c:v>
                </c:pt>
                <c:pt idx="80">
                  <c:v>6.6978334999999998</c:v>
                </c:pt>
                <c:pt idx="81">
                  <c:v>6.7648333333333328</c:v>
                </c:pt>
                <c:pt idx="82">
                  <c:v>6.8319998333333327</c:v>
                </c:pt>
                <c:pt idx="83">
                  <c:v>6.9125001666666659</c:v>
                </c:pt>
                <c:pt idx="84">
                  <c:v>6.9796666666666658</c:v>
                </c:pt>
                <c:pt idx="85">
                  <c:v>7.0466664999999997</c:v>
                </c:pt>
                <c:pt idx="86">
                  <c:v>7.1138335000000001</c:v>
                </c:pt>
                <c:pt idx="87">
                  <c:v>7.181</c:v>
                </c:pt>
                <c:pt idx="88">
                  <c:v>7.2481665</c:v>
                </c:pt>
                <c:pt idx="89">
                  <c:v>7.3151668333333335</c:v>
                </c:pt>
                <c:pt idx="90">
                  <c:v>7.3823333333333334</c:v>
                </c:pt>
                <c:pt idx="91">
                  <c:v>7.4494998333333333</c:v>
                </c:pt>
                <c:pt idx="92">
                  <c:v>7.5031668333333332</c:v>
                </c:pt>
                <c:pt idx="93">
                  <c:v>7.5836666666666668</c:v>
                </c:pt>
                <c:pt idx="94">
                  <c:v>7.6373331666666662</c:v>
                </c:pt>
                <c:pt idx="95">
                  <c:v>7.691000166666667</c:v>
                </c:pt>
                <c:pt idx="96">
                  <c:v>7.7581666666666669</c:v>
                </c:pt>
                <c:pt idx="97">
                  <c:v>7.8118331666666672</c:v>
                </c:pt>
                <c:pt idx="98">
                  <c:v>7.8790001666666667</c:v>
                </c:pt>
                <c:pt idx="99">
                  <c:v>7.9326666666666661</c:v>
                </c:pt>
                <c:pt idx="100">
                  <c:v>7.9863331666666664</c:v>
                </c:pt>
                <c:pt idx="101">
                  <c:v>8.0399998333333329</c:v>
                </c:pt>
                <c:pt idx="102">
                  <c:v>8.1071666666666662</c:v>
                </c:pt>
                <c:pt idx="103">
                  <c:v>8.1608333333333327</c:v>
                </c:pt>
                <c:pt idx="104">
                  <c:v>8.214499833333333</c:v>
                </c:pt>
                <c:pt idx="105">
                  <c:v>8.2681663333333333</c:v>
                </c:pt>
                <c:pt idx="106">
                  <c:v>8.3218338333333328</c:v>
                </c:pt>
                <c:pt idx="107">
                  <c:v>8.3755003333333331</c:v>
                </c:pt>
                <c:pt idx="108">
                  <c:v>8.4293335000000003</c:v>
                </c:pt>
                <c:pt idx="109">
                  <c:v>8.4830001666666668</c:v>
                </c:pt>
                <c:pt idx="110">
                  <c:v>8.5366666666666671</c:v>
                </c:pt>
                <c:pt idx="111">
                  <c:v>8.5768336666666656</c:v>
                </c:pt>
                <c:pt idx="112">
                  <c:v>8.6306668333333327</c:v>
                </c:pt>
                <c:pt idx="113">
                  <c:v>8.684333333333333</c:v>
                </c:pt>
                <c:pt idx="114">
                  <c:v>8.7245004999999995</c:v>
                </c:pt>
                <c:pt idx="115">
                  <c:v>8.7648331666666675</c:v>
                </c:pt>
                <c:pt idx="116">
                  <c:v>8.818499666666666</c:v>
                </c:pt>
                <c:pt idx="117">
                  <c:v>8.8588334999999994</c:v>
                </c:pt>
                <c:pt idx="118">
                  <c:v>8.9124999999999996</c:v>
                </c:pt>
                <c:pt idx="119">
                  <c:v>8.9526669999999999</c:v>
                </c:pt>
                <c:pt idx="120">
                  <c:v>8.979667000000001</c:v>
                </c:pt>
                <c:pt idx="121">
                  <c:v>9.0333334999999995</c:v>
                </c:pt>
                <c:pt idx="122">
                  <c:v>9.0734996666666667</c:v>
                </c:pt>
                <c:pt idx="123">
                  <c:v>9.1138333333333339</c:v>
                </c:pt>
                <c:pt idx="124">
                  <c:v>9.1541669999999993</c:v>
                </c:pt>
                <c:pt idx="125">
                  <c:v>9.1943331666666666</c:v>
                </c:pt>
                <c:pt idx="126">
                  <c:v>9.2211663333333345</c:v>
                </c:pt>
                <c:pt idx="127">
                  <c:v>9.2615001666666679</c:v>
                </c:pt>
                <c:pt idx="128">
                  <c:v>9.2883333333333322</c:v>
                </c:pt>
                <c:pt idx="129">
                  <c:v>9.3151666666666664</c:v>
                </c:pt>
                <c:pt idx="130">
                  <c:v>9.3419998333333343</c:v>
                </c:pt>
                <c:pt idx="131">
                  <c:v>9.3688331666666667</c:v>
                </c:pt>
                <c:pt idx="132">
                  <c:v>9.3956665000000008</c:v>
                </c:pt>
                <c:pt idx="133">
                  <c:v>9.4224996666666652</c:v>
                </c:pt>
                <c:pt idx="134">
                  <c:v>9.4493329999999993</c:v>
                </c:pt>
                <c:pt idx="135">
                  <c:v>9.4628333333333323</c:v>
                </c:pt>
                <c:pt idx="136">
                  <c:v>9.4761661666666672</c:v>
                </c:pt>
                <c:pt idx="137">
                  <c:v>9.4896666666666665</c:v>
                </c:pt>
                <c:pt idx="138">
                  <c:v>9.4896666666666665</c:v>
                </c:pt>
                <c:pt idx="139">
                  <c:v>9.5030003333333344</c:v>
                </c:pt>
                <c:pt idx="140">
                  <c:v>9.5030003333333344</c:v>
                </c:pt>
                <c:pt idx="141">
                  <c:v>9.4896666666666665</c:v>
                </c:pt>
                <c:pt idx="142">
                  <c:v>9.4761661666666672</c:v>
                </c:pt>
                <c:pt idx="143">
                  <c:v>9.4628333333333323</c:v>
                </c:pt>
                <c:pt idx="144">
                  <c:v>9.436000166666668</c:v>
                </c:pt>
                <c:pt idx="145">
                  <c:v>9.3823336666666659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BF0-4CAD-8181-7053F46E2D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17856"/>
        <c:axId val="100144480"/>
      </c:scatterChart>
      <c:valAx>
        <c:axId val="100117856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/>
                  <a:t>Strain, </a:t>
                </a:r>
                <a:r>
                  <a:rPr lang="el-GR" sz="1050"/>
                  <a:t>ε</a:t>
                </a:r>
                <a:endParaRPr lang="en-US" sz="1050"/>
              </a:p>
            </c:rich>
          </c:tx>
          <c:layout>
            <c:manualLayout>
              <c:xMode val="edge"/>
              <c:yMode val="edge"/>
              <c:x val="0.44270013123359575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44480"/>
        <c:crosses val="autoZero"/>
        <c:crossBetween val="midCat"/>
      </c:valAx>
      <c:valAx>
        <c:axId val="100144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Stress, σ (Mpa)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0.3096179644211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Stress</a:t>
            </a:r>
            <a:r>
              <a:rPr lang="en-US" baseline="0"/>
              <a:t> vs Strain</a:t>
            </a:r>
            <a:endParaRPr lang="en-US"/>
          </a:p>
        </c:rich>
      </c:tx>
      <c:layout>
        <c:manualLayout>
          <c:xMode val="edge"/>
          <c:yMode val="edge"/>
          <c:x val="0.4016666666666666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'0_10'!$D$3:$D$157</c:f>
              <c:numCache>
                <c:formatCode>General</c:formatCode>
                <c:ptCount val="155"/>
                <c:pt idx="0">
                  <c:v>0</c:v>
                </c:pt>
                <c:pt idx="1">
                  <c:v>7.477477477477526E-5</c:v>
                </c:pt>
                <c:pt idx="2">
                  <c:v>1.5045045045045113E-4</c:v>
                </c:pt>
                <c:pt idx="3">
                  <c:v>2.2522522522522639E-4</c:v>
                </c:pt>
                <c:pt idx="4">
                  <c:v>3.0000000000000165E-4</c:v>
                </c:pt>
                <c:pt idx="5">
                  <c:v>3.7477477477477691E-4</c:v>
                </c:pt>
                <c:pt idx="6">
                  <c:v>4.5045045045045279E-4</c:v>
                </c:pt>
                <c:pt idx="7">
                  <c:v>5.2522522522522805E-4</c:v>
                </c:pt>
                <c:pt idx="8">
                  <c:v>5.9999999999999984E-4</c:v>
                </c:pt>
                <c:pt idx="9">
                  <c:v>6.7567567567567571E-4</c:v>
                </c:pt>
                <c:pt idx="10">
                  <c:v>7.5045045045045097E-4</c:v>
                </c:pt>
                <c:pt idx="11">
                  <c:v>8.2612612612612685E-4</c:v>
                </c:pt>
                <c:pt idx="12">
                  <c:v>9.0090090090090211E-4</c:v>
                </c:pt>
                <c:pt idx="13">
                  <c:v>9.7567567567567737E-4</c:v>
                </c:pt>
                <c:pt idx="14">
                  <c:v>1.0504504504504526E-3</c:v>
                </c:pt>
                <c:pt idx="15">
                  <c:v>1.1261261261261285E-3</c:v>
                </c:pt>
                <c:pt idx="16">
                  <c:v>1.2009009009009003E-3</c:v>
                </c:pt>
                <c:pt idx="17">
                  <c:v>1.2756756756756756E-3</c:v>
                </c:pt>
                <c:pt idx="18">
                  <c:v>1.3513513513513514E-3</c:v>
                </c:pt>
                <c:pt idx="19">
                  <c:v>1.4261261261261267E-3</c:v>
                </c:pt>
                <c:pt idx="20">
                  <c:v>1.5018018018018026E-3</c:v>
                </c:pt>
                <c:pt idx="21">
                  <c:v>1.5765765765765778E-3</c:v>
                </c:pt>
                <c:pt idx="22">
                  <c:v>1.6513513513513531E-3</c:v>
                </c:pt>
                <c:pt idx="23">
                  <c:v>1.7261261261261283E-3</c:v>
                </c:pt>
                <c:pt idx="24">
                  <c:v>1.8018018018018007E-3</c:v>
                </c:pt>
                <c:pt idx="25">
                  <c:v>1.876576576576576E-3</c:v>
                </c:pt>
                <c:pt idx="26">
                  <c:v>1.9513513513513513E-3</c:v>
                </c:pt>
                <c:pt idx="27">
                  <c:v>2.0270270270270271E-3</c:v>
                </c:pt>
                <c:pt idx="28">
                  <c:v>2.1018018018018024E-3</c:v>
                </c:pt>
                <c:pt idx="29">
                  <c:v>2.1774774774774783E-3</c:v>
                </c:pt>
                <c:pt idx="30">
                  <c:v>2.2522522522522535E-3</c:v>
                </c:pt>
                <c:pt idx="31">
                  <c:v>2.3270270270270288E-3</c:v>
                </c:pt>
                <c:pt idx="32">
                  <c:v>2.4018018018018006E-3</c:v>
                </c:pt>
                <c:pt idx="33">
                  <c:v>2.4774774774774799E-3</c:v>
                </c:pt>
                <c:pt idx="34">
                  <c:v>2.5522522522522517E-3</c:v>
                </c:pt>
                <c:pt idx="35">
                  <c:v>2.6270270270270304E-3</c:v>
                </c:pt>
                <c:pt idx="36">
                  <c:v>2.7027027027027029E-3</c:v>
                </c:pt>
                <c:pt idx="37">
                  <c:v>2.7774774774774781E-3</c:v>
                </c:pt>
                <c:pt idx="38">
                  <c:v>2.8531531531531505E-3</c:v>
                </c:pt>
                <c:pt idx="39">
                  <c:v>2.9279279279279292E-3</c:v>
                </c:pt>
                <c:pt idx="40">
                  <c:v>3.0027027027027045E-3</c:v>
                </c:pt>
                <c:pt idx="41">
                  <c:v>3.0774774774774763E-3</c:v>
                </c:pt>
                <c:pt idx="42">
                  <c:v>3.1531531531531522E-3</c:v>
                </c:pt>
                <c:pt idx="43">
                  <c:v>3.2279279279279309E-3</c:v>
                </c:pt>
                <c:pt idx="44">
                  <c:v>3.3027027027027027E-3</c:v>
                </c:pt>
                <c:pt idx="45">
                  <c:v>3.3783783783783786E-3</c:v>
                </c:pt>
                <c:pt idx="46">
                  <c:v>3.4531531531531538E-3</c:v>
                </c:pt>
                <c:pt idx="47">
                  <c:v>3.5288288288288297E-3</c:v>
                </c:pt>
                <c:pt idx="48">
                  <c:v>3.603603603603605E-3</c:v>
                </c:pt>
                <c:pt idx="49">
                  <c:v>3.6783783783783768E-3</c:v>
                </c:pt>
                <c:pt idx="50">
                  <c:v>3.7531531531531555E-3</c:v>
                </c:pt>
                <c:pt idx="51">
                  <c:v>3.8288288288288314E-3</c:v>
                </c:pt>
                <c:pt idx="52">
                  <c:v>3.9036036036036031E-3</c:v>
                </c:pt>
                <c:pt idx="53">
                  <c:v>3.9783783783783784E-3</c:v>
                </c:pt>
                <c:pt idx="54">
                  <c:v>4.0540540540540543E-3</c:v>
                </c:pt>
                <c:pt idx="55">
                  <c:v>4.1288288288288295E-3</c:v>
                </c:pt>
                <c:pt idx="56">
                  <c:v>4.2036036036036048E-3</c:v>
                </c:pt>
                <c:pt idx="57">
                  <c:v>4.2792792792792807E-3</c:v>
                </c:pt>
                <c:pt idx="58">
                  <c:v>4.3540540540540559E-3</c:v>
                </c:pt>
                <c:pt idx="59">
                  <c:v>4.4288288288288277E-3</c:v>
                </c:pt>
                <c:pt idx="60">
                  <c:v>4.5045045045045036E-3</c:v>
                </c:pt>
                <c:pt idx="61">
                  <c:v>4.5792792792792789E-3</c:v>
                </c:pt>
                <c:pt idx="62">
                  <c:v>4.6540540540540576E-3</c:v>
                </c:pt>
                <c:pt idx="63">
                  <c:v>4.7297297297297335E-3</c:v>
                </c:pt>
                <c:pt idx="64">
                  <c:v>4.8045045045045053E-3</c:v>
                </c:pt>
                <c:pt idx="65">
                  <c:v>4.8792792792792805E-3</c:v>
                </c:pt>
                <c:pt idx="66">
                  <c:v>4.9540540540540523E-3</c:v>
                </c:pt>
                <c:pt idx="67">
                  <c:v>5.0297297297297282E-3</c:v>
                </c:pt>
                <c:pt idx="68">
                  <c:v>5.1045045045045069E-3</c:v>
                </c:pt>
                <c:pt idx="69">
                  <c:v>5.1801801801801793E-3</c:v>
                </c:pt>
                <c:pt idx="70">
                  <c:v>5.254954954954958E-3</c:v>
                </c:pt>
                <c:pt idx="71">
                  <c:v>5.3297297297297298E-3</c:v>
                </c:pt>
                <c:pt idx="72">
                  <c:v>5.4054054054054057E-3</c:v>
                </c:pt>
                <c:pt idx="73">
                  <c:v>5.480180180180181E-3</c:v>
                </c:pt>
                <c:pt idx="74">
                  <c:v>5.5549549549549528E-3</c:v>
                </c:pt>
                <c:pt idx="75">
                  <c:v>5.6297297297297315E-3</c:v>
                </c:pt>
                <c:pt idx="76">
                  <c:v>5.7054054054054074E-3</c:v>
                </c:pt>
                <c:pt idx="77">
                  <c:v>5.7801801801801826E-3</c:v>
                </c:pt>
                <c:pt idx="78">
                  <c:v>5.8558558558558585E-3</c:v>
                </c:pt>
                <c:pt idx="79">
                  <c:v>5.9306306306306303E-3</c:v>
                </c:pt>
                <c:pt idx="80">
                  <c:v>6.0054054054054055E-3</c:v>
                </c:pt>
                <c:pt idx="81">
                  <c:v>6.0810810810810814E-3</c:v>
                </c:pt>
                <c:pt idx="82">
                  <c:v>6.1558558558558567E-3</c:v>
                </c:pt>
                <c:pt idx="83">
                  <c:v>6.2306306306306319E-3</c:v>
                </c:pt>
                <c:pt idx="84">
                  <c:v>6.3054054054054072E-3</c:v>
                </c:pt>
                <c:pt idx="85">
                  <c:v>6.3810810810810831E-3</c:v>
                </c:pt>
                <c:pt idx="86">
                  <c:v>6.4558558558558549E-3</c:v>
                </c:pt>
                <c:pt idx="87">
                  <c:v>6.5315315315315307E-3</c:v>
                </c:pt>
                <c:pt idx="88">
                  <c:v>6.6063063063063095E-3</c:v>
                </c:pt>
                <c:pt idx="89">
                  <c:v>6.6810810810810813E-3</c:v>
                </c:pt>
                <c:pt idx="90">
                  <c:v>6.7567567567567571E-3</c:v>
                </c:pt>
                <c:pt idx="91">
                  <c:v>6.8315315315315324E-3</c:v>
                </c:pt>
                <c:pt idx="92">
                  <c:v>6.9063063063063077E-3</c:v>
                </c:pt>
                <c:pt idx="93">
                  <c:v>6.9810810810810829E-3</c:v>
                </c:pt>
                <c:pt idx="94">
                  <c:v>7.0567567567567553E-3</c:v>
                </c:pt>
                <c:pt idx="95">
                  <c:v>7.131531531531534E-3</c:v>
                </c:pt>
                <c:pt idx="96">
                  <c:v>7.2072072072072099E-3</c:v>
                </c:pt>
                <c:pt idx="97">
                  <c:v>7.2819819819819817E-3</c:v>
                </c:pt>
                <c:pt idx="98">
                  <c:v>7.356756756756757E-3</c:v>
                </c:pt>
                <c:pt idx="99">
                  <c:v>7.4324324324324328E-3</c:v>
                </c:pt>
                <c:pt idx="100">
                  <c:v>7.5072072072072081E-3</c:v>
                </c:pt>
                <c:pt idx="101">
                  <c:v>7.5819819819819834E-3</c:v>
                </c:pt>
                <c:pt idx="102">
                  <c:v>7.6567567567567586E-3</c:v>
                </c:pt>
                <c:pt idx="103">
                  <c:v>7.7324324324324345E-3</c:v>
                </c:pt>
                <c:pt idx="104">
                  <c:v>7.8072072072072063E-3</c:v>
                </c:pt>
                <c:pt idx="105">
                  <c:v>7.8828828828828822E-3</c:v>
                </c:pt>
                <c:pt idx="106">
                  <c:v>7.9576576576576574E-3</c:v>
                </c:pt>
                <c:pt idx="107">
                  <c:v>8.0324324324324362E-3</c:v>
                </c:pt>
                <c:pt idx="108">
                  <c:v>8.1081081081081086E-3</c:v>
                </c:pt>
                <c:pt idx="109">
                  <c:v>8.1828828828828838E-3</c:v>
                </c:pt>
                <c:pt idx="110">
                  <c:v>8.2576576576576591E-3</c:v>
                </c:pt>
                <c:pt idx="111">
                  <c:v>8.3324324324324309E-3</c:v>
                </c:pt>
                <c:pt idx="112">
                  <c:v>8.4081081081081067E-3</c:v>
                </c:pt>
                <c:pt idx="113">
                  <c:v>8.4828828828828855E-3</c:v>
                </c:pt>
                <c:pt idx="114">
                  <c:v>8.5585585585585579E-3</c:v>
                </c:pt>
                <c:pt idx="115">
                  <c:v>8.6333333333333366E-3</c:v>
                </c:pt>
                <c:pt idx="116">
                  <c:v>8.7081081081081084E-3</c:v>
                </c:pt>
                <c:pt idx="117">
                  <c:v>8.7837837837837843E-3</c:v>
                </c:pt>
                <c:pt idx="118">
                  <c:v>8.8585585585585595E-3</c:v>
                </c:pt>
                <c:pt idx="119">
                  <c:v>8.9333333333333313E-3</c:v>
                </c:pt>
                <c:pt idx="120">
                  <c:v>9.0081081081081101E-3</c:v>
                </c:pt>
                <c:pt idx="121">
                  <c:v>9.0837837837837859E-3</c:v>
                </c:pt>
                <c:pt idx="122">
                  <c:v>9.1585585585585612E-3</c:v>
                </c:pt>
                <c:pt idx="123">
                  <c:v>9.2342342342342371E-3</c:v>
                </c:pt>
                <c:pt idx="124">
                  <c:v>9.3090090090090089E-3</c:v>
                </c:pt>
                <c:pt idx="125">
                  <c:v>9.3837837837837841E-3</c:v>
                </c:pt>
                <c:pt idx="126">
                  <c:v>9.45945945945946E-3</c:v>
                </c:pt>
                <c:pt idx="127">
                  <c:v>9.5342342342342318E-3</c:v>
                </c:pt>
                <c:pt idx="128">
                  <c:v>9.6090090090090105E-3</c:v>
                </c:pt>
                <c:pt idx="129">
                  <c:v>9.6837837837837858E-3</c:v>
                </c:pt>
                <c:pt idx="130">
                  <c:v>9.7594594594594616E-3</c:v>
                </c:pt>
                <c:pt idx="131">
                  <c:v>9.8342342342342334E-3</c:v>
                </c:pt>
                <c:pt idx="132">
                  <c:v>9.9099099099099093E-3</c:v>
                </c:pt>
                <c:pt idx="133">
                  <c:v>9.9846846846846846E-3</c:v>
                </c:pt>
                <c:pt idx="134">
                  <c:v>1.005945945945946E-2</c:v>
                </c:pt>
                <c:pt idx="135">
                  <c:v>1.0135135135135136E-2</c:v>
                </c:pt>
                <c:pt idx="136">
                  <c:v>1.0209909909909911E-2</c:v>
                </c:pt>
                <c:pt idx="137">
                  <c:v>1.0284684684684686E-2</c:v>
                </c:pt>
                <c:pt idx="138">
                  <c:v>1.0359459459459458E-2</c:v>
                </c:pt>
                <c:pt idx="139">
                  <c:v>1.0435135135135134E-2</c:v>
                </c:pt>
                <c:pt idx="140">
                  <c:v>1.0509909909909913E-2</c:v>
                </c:pt>
                <c:pt idx="141">
                  <c:v>1.0585585585585588E-2</c:v>
                </c:pt>
                <c:pt idx="142">
                  <c:v>1.066036036036036E-2</c:v>
                </c:pt>
                <c:pt idx="143">
                  <c:v>1.0735135135135136E-2</c:v>
                </c:pt>
                <c:pt idx="144">
                  <c:v>1.0810810810810811E-2</c:v>
                </c:pt>
                <c:pt idx="145">
                  <c:v>1.0885585585585587E-2</c:v>
                </c:pt>
                <c:pt idx="146">
                  <c:v>1.0960360360360362E-2</c:v>
                </c:pt>
                <c:pt idx="147">
                  <c:v>1.1035135135135137E-2</c:v>
                </c:pt>
                <c:pt idx="148">
                  <c:v>1.1110810810810813E-2</c:v>
                </c:pt>
                <c:pt idx="149">
                  <c:v>1.1185585585585585E-2</c:v>
                </c:pt>
                <c:pt idx="150">
                  <c:v>1.126036036036036E-2</c:v>
                </c:pt>
                <c:pt idx="151">
                  <c:v>1.1336036036036036E-2</c:v>
                </c:pt>
                <c:pt idx="152">
                  <c:v>1.1410810810810815E-2</c:v>
                </c:pt>
              </c:numCache>
            </c:numRef>
          </c:xVal>
          <c:yVal>
            <c:numRef>
              <c:f>'0_10'!$E$3:$E$157</c:f>
              <c:numCache>
                <c:formatCode>General</c:formatCode>
                <c:ptCount val="155"/>
                <c:pt idx="0">
                  <c:v>0.255</c:v>
                </c:pt>
                <c:pt idx="1">
                  <c:v>0.32200000000000001</c:v>
                </c:pt>
                <c:pt idx="2">
                  <c:v>0.40266666666666667</c:v>
                </c:pt>
                <c:pt idx="3">
                  <c:v>0.48316666666666663</c:v>
                </c:pt>
                <c:pt idx="4">
                  <c:v>0.57716666666666672</c:v>
                </c:pt>
                <c:pt idx="5">
                  <c:v>0.64416666666666667</c:v>
                </c:pt>
                <c:pt idx="6">
                  <c:v>0.73816666666666664</c:v>
                </c:pt>
                <c:pt idx="7">
                  <c:v>0.81866666666666665</c:v>
                </c:pt>
                <c:pt idx="8">
                  <c:v>0.91266666666666663</c:v>
                </c:pt>
                <c:pt idx="9">
                  <c:v>0.99316666666666675</c:v>
                </c:pt>
                <c:pt idx="10">
                  <c:v>1.0871666666666668</c:v>
                </c:pt>
                <c:pt idx="11">
                  <c:v>1.1676666666666666</c:v>
                </c:pt>
                <c:pt idx="12">
                  <c:v>1.2481666666666666</c:v>
                </c:pt>
                <c:pt idx="13">
                  <c:v>1.3286666666666667</c:v>
                </c:pt>
                <c:pt idx="14">
                  <c:v>1.4093333333333333</c:v>
                </c:pt>
                <c:pt idx="15">
                  <c:v>1.5031666666666665</c:v>
                </c:pt>
                <c:pt idx="16">
                  <c:v>1.5838333333333334</c:v>
                </c:pt>
                <c:pt idx="17">
                  <c:v>1.6776666666666666</c:v>
                </c:pt>
                <c:pt idx="18">
                  <c:v>1.7583333333333333</c:v>
                </c:pt>
                <c:pt idx="19">
                  <c:v>1.8388333333333333</c:v>
                </c:pt>
                <c:pt idx="20">
                  <c:v>1.9193333333333333</c:v>
                </c:pt>
                <c:pt idx="21">
                  <c:v>1.9998333333333334</c:v>
                </c:pt>
                <c:pt idx="22">
                  <c:v>2.0938333333333334</c:v>
                </c:pt>
                <c:pt idx="23">
                  <c:v>2.1743335000000004</c:v>
                </c:pt>
                <c:pt idx="24">
                  <c:v>2.2548331666666663</c:v>
                </c:pt>
                <c:pt idx="25">
                  <c:v>2.3488333333333333</c:v>
                </c:pt>
                <c:pt idx="26">
                  <c:v>2.4159999999999999</c:v>
                </c:pt>
                <c:pt idx="27">
                  <c:v>2.5099999999999998</c:v>
                </c:pt>
                <c:pt idx="28">
                  <c:v>2.5905</c:v>
                </c:pt>
                <c:pt idx="29">
                  <c:v>2.6709999999999998</c:v>
                </c:pt>
                <c:pt idx="30">
                  <c:v>2.7515001666666667</c:v>
                </c:pt>
                <c:pt idx="31">
                  <c:v>2.8454998333333332</c:v>
                </c:pt>
                <c:pt idx="32">
                  <c:v>2.9260000000000002</c:v>
                </c:pt>
                <c:pt idx="33">
                  <c:v>2.9931666666666668</c:v>
                </c:pt>
                <c:pt idx="34">
                  <c:v>3.0736666666666665</c:v>
                </c:pt>
                <c:pt idx="35">
                  <c:v>3.1676666666666669</c:v>
                </c:pt>
                <c:pt idx="36">
                  <c:v>3.2481668333333333</c:v>
                </c:pt>
                <c:pt idx="37">
                  <c:v>3.3286664999999998</c:v>
                </c:pt>
                <c:pt idx="38">
                  <c:v>3.3958333333333335</c:v>
                </c:pt>
                <c:pt idx="39">
                  <c:v>3.4763333333333337</c:v>
                </c:pt>
                <c:pt idx="40">
                  <c:v>3.5568333333333331</c:v>
                </c:pt>
                <c:pt idx="41">
                  <c:v>3.6375001666666669</c:v>
                </c:pt>
                <c:pt idx="42">
                  <c:v>3.7179998333333333</c:v>
                </c:pt>
                <c:pt idx="43">
                  <c:v>3.7984999999999998</c:v>
                </c:pt>
                <c:pt idx="44">
                  <c:v>3.879</c:v>
                </c:pt>
                <c:pt idx="45">
                  <c:v>3.9595001666666665</c:v>
                </c:pt>
                <c:pt idx="46">
                  <c:v>4.0401666666666669</c:v>
                </c:pt>
                <c:pt idx="47">
                  <c:v>4.1206665000000005</c:v>
                </c:pt>
                <c:pt idx="48">
                  <c:v>4.2011668333333336</c:v>
                </c:pt>
                <c:pt idx="49">
                  <c:v>4.2683333333333335</c:v>
                </c:pt>
                <c:pt idx="50">
                  <c:v>4.3353331666666666</c:v>
                </c:pt>
                <c:pt idx="51">
                  <c:v>4.4160001666666666</c:v>
                </c:pt>
                <c:pt idx="52">
                  <c:v>4.496499833333333</c:v>
                </c:pt>
                <c:pt idx="53">
                  <c:v>4.5770001666666662</c:v>
                </c:pt>
                <c:pt idx="54">
                  <c:v>4.6441666666666661</c:v>
                </c:pt>
                <c:pt idx="55">
                  <c:v>4.7246664999999997</c:v>
                </c:pt>
                <c:pt idx="56">
                  <c:v>4.8051666666666666</c:v>
                </c:pt>
                <c:pt idx="57">
                  <c:v>4.8723333333333327</c:v>
                </c:pt>
                <c:pt idx="58">
                  <c:v>4.9528334999999997</c:v>
                </c:pt>
                <c:pt idx="59">
                  <c:v>5.0199999999999996</c:v>
                </c:pt>
                <c:pt idx="60">
                  <c:v>5.1004998333333331</c:v>
                </c:pt>
                <c:pt idx="61">
                  <c:v>5.1676668333333327</c:v>
                </c:pt>
                <c:pt idx="62">
                  <c:v>5.2346666666666666</c:v>
                </c:pt>
                <c:pt idx="63">
                  <c:v>5.3151668333333335</c:v>
                </c:pt>
                <c:pt idx="64">
                  <c:v>5.3823333333333334</c:v>
                </c:pt>
                <c:pt idx="65">
                  <c:v>5.462833166666667</c:v>
                </c:pt>
                <c:pt idx="66">
                  <c:v>5.5300001666666665</c:v>
                </c:pt>
                <c:pt idx="67">
                  <c:v>5.6105</c:v>
                </c:pt>
                <c:pt idx="68">
                  <c:v>5.6776664999999999</c:v>
                </c:pt>
                <c:pt idx="69">
                  <c:v>5.7448334999999995</c:v>
                </c:pt>
                <c:pt idx="70">
                  <c:v>5.8118333333333334</c:v>
                </c:pt>
                <c:pt idx="71">
                  <c:v>5.8923331666666661</c:v>
                </c:pt>
                <c:pt idx="72">
                  <c:v>5.9461668333333337</c:v>
                </c:pt>
                <c:pt idx="73">
                  <c:v>6.0266666666666673</c:v>
                </c:pt>
                <c:pt idx="74">
                  <c:v>6.0936668333333328</c:v>
                </c:pt>
                <c:pt idx="75">
                  <c:v>6.1608333333333327</c:v>
                </c:pt>
                <c:pt idx="76">
                  <c:v>6.2279999999999998</c:v>
                </c:pt>
                <c:pt idx="77">
                  <c:v>6.2951664999999997</c:v>
                </c:pt>
                <c:pt idx="78">
                  <c:v>6.362166666666667</c:v>
                </c:pt>
                <c:pt idx="79">
                  <c:v>6.4293331666666669</c:v>
                </c:pt>
                <c:pt idx="80">
                  <c:v>6.4965001666666664</c:v>
                </c:pt>
                <c:pt idx="81">
                  <c:v>6.5635000000000003</c:v>
                </c:pt>
                <c:pt idx="82">
                  <c:v>6.6306665000000002</c:v>
                </c:pt>
                <c:pt idx="83">
                  <c:v>6.6978334999999998</c:v>
                </c:pt>
                <c:pt idx="84">
                  <c:v>6.7648333333333328</c:v>
                </c:pt>
                <c:pt idx="85">
                  <c:v>6.8184998333333331</c:v>
                </c:pt>
                <c:pt idx="86">
                  <c:v>6.8856668333333335</c:v>
                </c:pt>
                <c:pt idx="87">
                  <c:v>6.9393333333333338</c:v>
                </c:pt>
                <c:pt idx="88">
                  <c:v>7.0064998333333337</c:v>
                </c:pt>
                <c:pt idx="89">
                  <c:v>7.0736664999999999</c:v>
                </c:pt>
                <c:pt idx="90">
                  <c:v>7.1273335000000007</c:v>
                </c:pt>
                <c:pt idx="91">
                  <c:v>7.1943331666666666</c:v>
                </c:pt>
                <c:pt idx="92">
                  <c:v>7.2481665</c:v>
                </c:pt>
                <c:pt idx="93">
                  <c:v>7.3151668333333335</c:v>
                </c:pt>
                <c:pt idx="94">
                  <c:v>7.3688333333333329</c:v>
                </c:pt>
                <c:pt idx="95">
                  <c:v>7.4359998333333328</c:v>
                </c:pt>
                <c:pt idx="96">
                  <c:v>7.4896668333333336</c:v>
                </c:pt>
                <c:pt idx="97">
                  <c:v>7.5433333333333339</c:v>
                </c:pt>
                <c:pt idx="98">
                  <c:v>7.6104998333333338</c:v>
                </c:pt>
                <c:pt idx="99">
                  <c:v>7.6641668333333337</c:v>
                </c:pt>
                <c:pt idx="100">
                  <c:v>7.7178333333333331</c:v>
                </c:pt>
                <c:pt idx="101">
                  <c:v>7.784999833333333</c:v>
                </c:pt>
                <c:pt idx="102">
                  <c:v>7.8386665000000004</c:v>
                </c:pt>
                <c:pt idx="103">
                  <c:v>7.8923329999999998</c:v>
                </c:pt>
                <c:pt idx="104">
                  <c:v>7.9460004999999994</c:v>
                </c:pt>
                <c:pt idx="105">
                  <c:v>7.9996670000000005</c:v>
                </c:pt>
                <c:pt idx="106">
                  <c:v>8.0535001666666677</c:v>
                </c:pt>
                <c:pt idx="107">
                  <c:v>8.1071666666666662</c:v>
                </c:pt>
                <c:pt idx="108">
                  <c:v>8.1608333333333327</c:v>
                </c:pt>
                <c:pt idx="109">
                  <c:v>8.2011669999999999</c:v>
                </c:pt>
                <c:pt idx="110">
                  <c:v>8.2548335000000002</c:v>
                </c:pt>
                <c:pt idx="111">
                  <c:v>8.2949996666666657</c:v>
                </c:pt>
                <c:pt idx="112">
                  <c:v>8.3486670000000007</c:v>
                </c:pt>
                <c:pt idx="113">
                  <c:v>8.4025003333333323</c:v>
                </c:pt>
                <c:pt idx="114">
                  <c:v>8.4426663333333334</c:v>
                </c:pt>
                <c:pt idx="115">
                  <c:v>8.4963328333333337</c:v>
                </c:pt>
                <c:pt idx="116">
                  <c:v>8.5366666666666671</c:v>
                </c:pt>
                <c:pt idx="117">
                  <c:v>8.5768336666666656</c:v>
                </c:pt>
                <c:pt idx="118">
                  <c:v>8.6171664999999997</c:v>
                </c:pt>
                <c:pt idx="119">
                  <c:v>8.6575001666666669</c:v>
                </c:pt>
                <c:pt idx="120">
                  <c:v>8.6976661666666661</c:v>
                </c:pt>
                <c:pt idx="121">
                  <c:v>8.7379999999999995</c:v>
                </c:pt>
                <c:pt idx="122">
                  <c:v>8.7783336666666667</c:v>
                </c:pt>
                <c:pt idx="123">
                  <c:v>8.8051670000000009</c:v>
                </c:pt>
                <c:pt idx="124">
                  <c:v>8.8588334999999994</c:v>
                </c:pt>
                <c:pt idx="125">
                  <c:v>8.8856666666666673</c:v>
                </c:pt>
                <c:pt idx="126">
                  <c:v>8.9258336666666676</c:v>
                </c:pt>
                <c:pt idx="127">
                  <c:v>8.9526669999999999</c:v>
                </c:pt>
                <c:pt idx="128">
                  <c:v>8.9929998333333323</c:v>
                </c:pt>
                <c:pt idx="129">
                  <c:v>9.0198330000000002</c:v>
                </c:pt>
                <c:pt idx="130">
                  <c:v>9.0466663333333326</c:v>
                </c:pt>
                <c:pt idx="131">
                  <c:v>9.0734996666666667</c:v>
                </c:pt>
                <c:pt idx="132">
                  <c:v>9.1003338333333339</c:v>
                </c:pt>
                <c:pt idx="133">
                  <c:v>9.1271669999999983</c:v>
                </c:pt>
                <c:pt idx="134">
                  <c:v>9.1541669999999993</c:v>
                </c:pt>
                <c:pt idx="135">
                  <c:v>9.1674998333333324</c:v>
                </c:pt>
                <c:pt idx="136">
                  <c:v>9.1943331666666666</c:v>
                </c:pt>
                <c:pt idx="137">
                  <c:v>9.2211663333333345</c:v>
                </c:pt>
                <c:pt idx="138">
                  <c:v>9.2346668333333337</c:v>
                </c:pt>
                <c:pt idx="139">
                  <c:v>9.2479996666666668</c:v>
                </c:pt>
                <c:pt idx="140">
                  <c:v>9.2615001666666679</c:v>
                </c:pt>
                <c:pt idx="141">
                  <c:v>9.274832833333333</c:v>
                </c:pt>
                <c:pt idx="142">
                  <c:v>9.274832833333333</c:v>
                </c:pt>
                <c:pt idx="143">
                  <c:v>9.2883333333333322</c:v>
                </c:pt>
                <c:pt idx="144">
                  <c:v>9.2883333333333322</c:v>
                </c:pt>
                <c:pt idx="145">
                  <c:v>9.2883333333333322</c:v>
                </c:pt>
                <c:pt idx="146">
                  <c:v>9.2883333333333322</c:v>
                </c:pt>
                <c:pt idx="147">
                  <c:v>9.274832833333333</c:v>
                </c:pt>
                <c:pt idx="148">
                  <c:v>9.2615001666666679</c:v>
                </c:pt>
                <c:pt idx="149">
                  <c:v>9.2479996666666668</c:v>
                </c:pt>
                <c:pt idx="150">
                  <c:v>9.2211663333333345</c:v>
                </c:pt>
                <c:pt idx="151">
                  <c:v>9.1674998333333324</c:v>
                </c:pt>
                <c:pt idx="152">
                  <c:v>9.1003338333333339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731-4A85-BDA6-F4D391947D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0117856"/>
        <c:axId val="100144480"/>
      </c:scatterChart>
      <c:valAx>
        <c:axId val="100117856"/>
        <c:scaling>
          <c:orientation val="minMax"/>
          <c:min val="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50"/>
                  <a:t>Strain, </a:t>
                </a:r>
                <a:r>
                  <a:rPr lang="el-GR" sz="1050"/>
                  <a:t>ε</a:t>
                </a:r>
                <a:endParaRPr lang="en-US" sz="1050"/>
              </a:p>
            </c:rich>
          </c:tx>
          <c:layout>
            <c:manualLayout>
              <c:xMode val="edge"/>
              <c:yMode val="edge"/>
              <c:x val="0.44270013123359575"/>
              <c:y val="0.8925692621755614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44480"/>
        <c:crosses val="autoZero"/>
        <c:crossBetween val="midCat"/>
      </c:valAx>
      <c:valAx>
        <c:axId val="100144480"/>
        <c:scaling>
          <c:orientation val="minMax"/>
          <c:min val="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/>
                  <a:t>Stress, σ (Mpa)</a:t>
                </a:r>
              </a:p>
            </c:rich>
          </c:tx>
          <c:layout>
            <c:manualLayout>
              <c:xMode val="edge"/>
              <c:yMode val="edge"/>
              <c:x val="2.7777777777777776E-2"/>
              <c:y val="0.30961796442111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011785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chart" Target="../charts/chart9.xml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0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491490</xdr:colOff>
      <xdr:row>6</xdr:row>
      <xdr:rowOff>72390</xdr:rowOff>
    </xdr:from>
    <xdr:to>
      <xdr:col>14</xdr:col>
      <xdr:colOff>582930</xdr:colOff>
      <xdr:row>21</xdr:row>
      <xdr:rowOff>72390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A55A34C-F8E7-45D5-94B7-78F85C8B26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278130</xdr:colOff>
      <xdr:row>7</xdr:row>
      <xdr:rowOff>13335</xdr:rowOff>
    </xdr:from>
    <xdr:to>
      <xdr:col>14</xdr:col>
      <xdr:colOff>369570</xdr:colOff>
      <xdr:row>22</xdr:row>
      <xdr:rowOff>13335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7DBC874-7590-4E7C-8DD5-8BE88C71B41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529590</xdr:colOff>
      <xdr:row>6</xdr:row>
      <xdr:rowOff>125730</xdr:rowOff>
    </xdr:from>
    <xdr:to>
      <xdr:col>14</xdr:col>
      <xdr:colOff>621030</xdr:colOff>
      <xdr:row>21</xdr:row>
      <xdr:rowOff>125730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2956B6B-1808-47E1-8BA1-332EBEB4591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358140</xdr:colOff>
      <xdr:row>6</xdr:row>
      <xdr:rowOff>53340</xdr:rowOff>
    </xdr:from>
    <xdr:to>
      <xdr:col>15</xdr:col>
      <xdr:colOff>449580</xdr:colOff>
      <xdr:row>21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A24550D-EF1B-4A28-8C58-B5E01B33A73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358140</xdr:colOff>
      <xdr:row>6</xdr:row>
      <xdr:rowOff>53340</xdr:rowOff>
    </xdr:from>
    <xdr:to>
      <xdr:col>15</xdr:col>
      <xdr:colOff>449580</xdr:colOff>
      <xdr:row>21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CC3481B-8588-41B0-A4BE-77E7CA0149E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358140</xdr:colOff>
      <xdr:row>6</xdr:row>
      <xdr:rowOff>53340</xdr:rowOff>
    </xdr:from>
    <xdr:to>
      <xdr:col>15</xdr:col>
      <xdr:colOff>449580</xdr:colOff>
      <xdr:row>21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4929C856-AB1B-4FAC-816C-A437C4C12B9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358140</xdr:colOff>
      <xdr:row>6</xdr:row>
      <xdr:rowOff>53340</xdr:rowOff>
    </xdr:from>
    <xdr:to>
      <xdr:col>15</xdr:col>
      <xdr:colOff>449580</xdr:colOff>
      <xdr:row>21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6478921-3189-451B-92D0-8B437A2692C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358140</xdr:colOff>
      <xdr:row>6</xdr:row>
      <xdr:rowOff>53340</xdr:rowOff>
    </xdr:from>
    <xdr:to>
      <xdr:col>15</xdr:col>
      <xdr:colOff>449580</xdr:colOff>
      <xdr:row>21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FC83B2B-A3C1-44A7-9CC9-41A5058ED57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358140</xdr:colOff>
      <xdr:row>6</xdr:row>
      <xdr:rowOff>53340</xdr:rowOff>
    </xdr:from>
    <xdr:to>
      <xdr:col>15</xdr:col>
      <xdr:colOff>449580</xdr:colOff>
      <xdr:row>21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27C1855-1F9C-4D1F-A96E-15678EFDAD1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358140</xdr:colOff>
      <xdr:row>6</xdr:row>
      <xdr:rowOff>53340</xdr:rowOff>
    </xdr:from>
    <xdr:to>
      <xdr:col>15</xdr:col>
      <xdr:colOff>449580</xdr:colOff>
      <xdr:row>21</xdr:row>
      <xdr:rowOff>53340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DBB9720-A689-49C8-A90C-56BDD9A04AB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96BDE-C0D8-4F51-A9AE-896AE02AF77C}">
  <dimension ref="A1:M174"/>
  <sheetViews>
    <sheetView tabSelected="1" workbookViewId="0">
      <selection activeCell="G16" sqref="G16"/>
    </sheetView>
  </sheetViews>
  <sheetFormatPr defaultRowHeight="14.4" x14ac:dyDescent="0.55000000000000004"/>
  <cols>
    <col min="1" max="3" width="8.83984375" style="1"/>
    <col min="4" max="4" width="11.3125" style="1" customWidth="1"/>
    <col min="5" max="5" width="6.68359375" style="1" customWidth="1"/>
  </cols>
  <sheetData>
    <row r="1" spans="1:13" x14ac:dyDescent="0.55000000000000004">
      <c r="A1" s="1" t="s">
        <v>0</v>
      </c>
      <c r="B1" s="1" t="s">
        <v>1</v>
      </c>
      <c r="C1" s="1" t="s">
        <v>2</v>
      </c>
      <c r="D1" s="2" t="s">
        <v>3</v>
      </c>
      <c r="E1" s="2" t="s">
        <v>17</v>
      </c>
    </row>
    <row r="2" spans="1:13" x14ac:dyDescent="0.55000000000000004">
      <c r="A2" s="1" t="s">
        <v>4</v>
      </c>
      <c r="B2" s="1" t="s">
        <v>5</v>
      </c>
      <c r="C2" s="1" t="s">
        <v>6</v>
      </c>
      <c r="D2" s="2" t="s">
        <v>7</v>
      </c>
      <c r="E2" s="2" t="s">
        <v>16</v>
      </c>
    </row>
    <row r="3" spans="1:13" x14ac:dyDescent="0.55000000000000004">
      <c r="A3" s="1">
        <v>20.3</v>
      </c>
      <c r="B3" s="1">
        <v>1.6894</v>
      </c>
      <c r="C3" s="1">
        <v>14.49</v>
      </c>
      <c r="D3" s="2">
        <v>0</v>
      </c>
      <c r="E3" s="2">
        <f t="shared" ref="E3:E34" si="0">C3/$L$4</f>
        <v>0.24149999999999999</v>
      </c>
      <c r="K3" t="s">
        <v>15</v>
      </c>
      <c r="L3">
        <v>111</v>
      </c>
      <c r="M3" t="s">
        <v>9</v>
      </c>
    </row>
    <row r="4" spans="1:13" x14ac:dyDescent="0.55000000000000004">
      <c r="A4" s="1">
        <v>20.399999999999999</v>
      </c>
      <c r="B4" s="1">
        <v>1.6977</v>
      </c>
      <c r="C4" s="1">
        <v>15.3</v>
      </c>
      <c r="D4" s="2">
        <f t="shared" ref="D4:D35" si="1">(B4/$L$3)-0.01521982</f>
        <v>7.4774594594593721E-5</v>
      </c>
      <c r="E4" s="2">
        <f t="shared" si="0"/>
        <v>0.255</v>
      </c>
      <c r="K4" t="s">
        <v>14</v>
      </c>
      <c r="L4">
        <f>10*6</f>
        <v>60</v>
      </c>
      <c r="M4" t="s">
        <v>13</v>
      </c>
    </row>
    <row r="5" spans="1:13" x14ac:dyDescent="0.55000000000000004">
      <c r="A5" s="1">
        <v>20.5</v>
      </c>
      <c r="B5" s="1">
        <v>1.706</v>
      </c>
      <c r="C5" s="1">
        <v>17.71</v>
      </c>
      <c r="D5" s="2">
        <f t="shared" si="1"/>
        <v>1.4954936936936898E-4</v>
      </c>
      <c r="E5" s="2">
        <f t="shared" si="0"/>
        <v>0.29516666666666669</v>
      </c>
    </row>
    <row r="6" spans="1:13" x14ac:dyDescent="0.55000000000000004">
      <c r="A6" s="1">
        <v>20.6</v>
      </c>
      <c r="B6" s="1">
        <v>1.7143999999999999</v>
      </c>
      <c r="C6" s="1">
        <v>20.93</v>
      </c>
      <c r="D6" s="2">
        <f t="shared" si="1"/>
        <v>2.2522504504504486E-4</v>
      </c>
      <c r="E6" s="2">
        <f t="shared" si="0"/>
        <v>0.34883333333333333</v>
      </c>
    </row>
    <row r="7" spans="1:13" x14ac:dyDescent="0.55000000000000004">
      <c r="A7" s="1">
        <v>20.7</v>
      </c>
      <c r="B7" s="1">
        <v>1.7226999999999999</v>
      </c>
      <c r="C7" s="1">
        <v>23.35</v>
      </c>
      <c r="D7" s="2">
        <f t="shared" si="1"/>
        <v>2.9999981981981838E-4</v>
      </c>
      <c r="E7" s="2">
        <f t="shared" si="0"/>
        <v>0.38916666666666672</v>
      </c>
    </row>
    <row r="8" spans="1:13" x14ac:dyDescent="0.55000000000000004">
      <c r="A8" s="1">
        <v>20.8</v>
      </c>
      <c r="B8" s="1">
        <v>1.7311000000000001</v>
      </c>
      <c r="C8" s="1">
        <v>26.57</v>
      </c>
      <c r="D8" s="2">
        <f t="shared" si="1"/>
        <v>3.7567549549549599E-4</v>
      </c>
      <c r="E8" s="2">
        <f t="shared" si="0"/>
        <v>0.44283333333333336</v>
      </c>
    </row>
    <row r="9" spans="1:13" x14ac:dyDescent="0.55000000000000004">
      <c r="A9" s="1">
        <v>20.9</v>
      </c>
      <c r="B9" s="1">
        <v>1.7394000000000001</v>
      </c>
      <c r="C9" s="1">
        <v>29.79</v>
      </c>
      <c r="D9" s="2">
        <f t="shared" si="1"/>
        <v>4.5045027027027125E-4</v>
      </c>
      <c r="E9" s="2">
        <f t="shared" si="0"/>
        <v>0.4965</v>
      </c>
    </row>
    <row r="10" spans="1:13" x14ac:dyDescent="0.55000000000000004">
      <c r="A10" s="1">
        <v>21</v>
      </c>
      <c r="B10" s="1">
        <v>1.7477</v>
      </c>
      <c r="C10" s="1">
        <v>33.82</v>
      </c>
      <c r="D10" s="2">
        <f t="shared" si="1"/>
        <v>5.2522504504504651E-4</v>
      </c>
      <c r="E10" s="2">
        <f t="shared" si="0"/>
        <v>0.56366666666666665</v>
      </c>
    </row>
    <row r="11" spans="1:13" x14ac:dyDescent="0.55000000000000004">
      <c r="A11" s="1">
        <v>21.1</v>
      </c>
      <c r="B11" s="1">
        <v>1.7561</v>
      </c>
      <c r="C11" s="1">
        <v>37.04</v>
      </c>
      <c r="D11" s="2">
        <f t="shared" si="1"/>
        <v>6.0090072072071891E-4</v>
      </c>
      <c r="E11" s="2">
        <f t="shared" si="0"/>
        <v>0.61733333333333329</v>
      </c>
    </row>
    <row r="12" spans="1:13" x14ac:dyDescent="0.55000000000000004">
      <c r="A12" s="1">
        <v>21.2</v>
      </c>
      <c r="B12" s="1">
        <v>1.7644</v>
      </c>
      <c r="C12" s="1">
        <v>40.26</v>
      </c>
      <c r="D12" s="2">
        <f t="shared" si="1"/>
        <v>6.7567549549549417E-4</v>
      </c>
      <c r="E12" s="2">
        <f t="shared" si="0"/>
        <v>0.67099999999999993</v>
      </c>
    </row>
    <row r="13" spans="1:13" x14ac:dyDescent="0.55000000000000004">
      <c r="A13" s="1">
        <v>21.3</v>
      </c>
      <c r="B13" s="1">
        <v>1.7726999999999999</v>
      </c>
      <c r="C13" s="1">
        <v>44.29</v>
      </c>
      <c r="D13" s="2">
        <f t="shared" si="1"/>
        <v>7.5045027027026943E-4</v>
      </c>
      <c r="E13" s="2">
        <f t="shared" si="0"/>
        <v>0.73816666666666664</v>
      </c>
    </row>
    <row r="14" spans="1:13" x14ac:dyDescent="0.55000000000000004">
      <c r="A14" s="1">
        <v>21.4</v>
      </c>
      <c r="B14" s="1">
        <v>1.7809999999999999</v>
      </c>
      <c r="C14" s="1">
        <v>48.32</v>
      </c>
      <c r="D14" s="2">
        <f t="shared" si="1"/>
        <v>8.2522504504504469E-4</v>
      </c>
      <c r="E14" s="2">
        <f t="shared" si="0"/>
        <v>0.80533333333333335</v>
      </c>
    </row>
    <row r="15" spans="1:13" x14ac:dyDescent="0.55000000000000004">
      <c r="A15" s="1">
        <v>21.5</v>
      </c>
      <c r="B15" s="1">
        <v>1.7894000000000001</v>
      </c>
      <c r="C15" s="1">
        <v>51.54</v>
      </c>
      <c r="D15" s="2">
        <f t="shared" si="1"/>
        <v>9.0090072072072057E-4</v>
      </c>
      <c r="E15" s="2">
        <f t="shared" si="0"/>
        <v>0.85899999999999999</v>
      </c>
    </row>
    <row r="16" spans="1:13" x14ac:dyDescent="0.55000000000000004">
      <c r="A16" s="1">
        <v>21.6</v>
      </c>
      <c r="B16" s="1">
        <v>1.7977000000000001</v>
      </c>
      <c r="C16" s="1">
        <v>55.56</v>
      </c>
      <c r="D16" s="2">
        <f t="shared" si="1"/>
        <v>9.7567549549549583E-4</v>
      </c>
      <c r="E16" s="2">
        <f t="shared" si="0"/>
        <v>0.92600000000000005</v>
      </c>
    </row>
    <row r="17" spans="1:13" x14ac:dyDescent="0.55000000000000004">
      <c r="A17" s="1">
        <v>21.7</v>
      </c>
      <c r="B17" s="1">
        <v>1.8061</v>
      </c>
      <c r="C17" s="1">
        <v>59.59</v>
      </c>
      <c r="D17" s="2">
        <f t="shared" si="1"/>
        <v>1.0513511711711717E-3</v>
      </c>
      <c r="E17" s="2">
        <f t="shared" si="0"/>
        <v>0.99316666666666675</v>
      </c>
    </row>
    <row r="18" spans="1:13" x14ac:dyDescent="0.55000000000000004">
      <c r="A18" s="1">
        <v>21.8</v>
      </c>
      <c r="B18" s="1">
        <v>1.8144</v>
      </c>
      <c r="C18" s="1">
        <v>63.62</v>
      </c>
      <c r="D18" s="2">
        <f t="shared" si="1"/>
        <v>1.126125945945947E-3</v>
      </c>
      <c r="E18" s="2">
        <f t="shared" si="0"/>
        <v>1.0603333333333333</v>
      </c>
    </row>
    <row r="19" spans="1:13" x14ac:dyDescent="0.55000000000000004">
      <c r="A19" s="1">
        <v>21.9</v>
      </c>
      <c r="B19" s="1">
        <v>1.8227</v>
      </c>
      <c r="C19" s="1">
        <v>67.64</v>
      </c>
      <c r="D19" s="2">
        <f t="shared" si="1"/>
        <v>1.2009007207207188E-3</v>
      </c>
      <c r="E19" s="2">
        <f t="shared" si="0"/>
        <v>1.1273333333333333</v>
      </c>
    </row>
    <row r="20" spans="1:13" x14ac:dyDescent="0.55000000000000004">
      <c r="A20" s="1">
        <v>22</v>
      </c>
      <c r="B20" s="1">
        <v>1.8310999999999999</v>
      </c>
      <c r="C20" s="1">
        <v>71.67</v>
      </c>
      <c r="D20" s="2">
        <f t="shared" si="1"/>
        <v>1.2765763963963946E-3</v>
      </c>
      <c r="E20" s="2">
        <f t="shared" si="0"/>
        <v>1.1945000000000001</v>
      </c>
    </row>
    <row r="21" spans="1:13" x14ac:dyDescent="0.55000000000000004">
      <c r="A21" s="1">
        <v>22.1</v>
      </c>
      <c r="B21" s="1">
        <v>1.8393999999999999</v>
      </c>
      <c r="C21" s="1">
        <v>76.5</v>
      </c>
      <c r="D21" s="2">
        <f t="shared" si="1"/>
        <v>1.3513511711711699E-3</v>
      </c>
      <c r="E21" s="2">
        <f t="shared" si="0"/>
        <v>1.2749999999999999</v>
      </c>
    </row>
    <row r="22" spans="1:13" x14ac:dyDescent="0.55000000000000004">
      <c r="A22" s="1">
        <v>22.2</v>
      </c>
      <c r="B22" s="1">
        <v>1.8476999999999999</v>
      </c>
      <c r="C22" s="1">
        <v>81.34</v>
      </c>
      <c r="D22" s="2">
        <f t="shared" si="1"/>
        <v>1.4261259459459451E-3</v>
      </c>
      <c r="E22" s="2">
        <f t="shared" si="0"/>
        <v>1.3556666666666668</v>
      </c>
    </row>
    <row r="23" spans="1:13" x14ac:dyDescent="0.55000000000000004">
      <c r="A23" s="1">
        <v>22.3</v>
      </c>
      <c r="B23" s="1">
        <v>1.8560000000000001</v>
      </c>
      <c r="C23" s="1">
        <v>86.17</v>
      </c>
      <c r="D23" s="2">
        <f t="shared" si="1"/>
        <v>1.5009007207207204E-3</v>
      </c>
      <c r="E23" s="2">
        <f t="shared" si="0"/>
        <v>1.4361666666666666</v>
      </c>
    </row>
    <row r="24" spans="1:13" x14ac:dyDescent="0.55000000000000004">
      <c r="A24" s="1">
        <v>22.4</v>
      </c>
      <c r="B24" s="1">
        <v>1.8644000000000001</v>
      </c>
      <c r="C24" s="1">
        <v>91.81</v>
      </c>
      <c r="D24" s="2">
        <f t="shared" si="1"/>
        <v>1.5765763963963963E-3</v>
      </c>
      <c r="E24" s="2">
        <f t="shared" si="0"/>
        <v>1.5301666666666667</v>
      </c>
    </row>
    <row r="25" spans="1:13" x14ac:dyDescent="0.55000000000000004">
      <c r="A25" s="1">
        <v>22.5</v>
      </c>
      <c r="B25" s="1">
        <v>1.8727</v>
      </c>
      <c r="C25" s="1">
        <v>96.64</v>
      </c>
      <c r="D25" s="2">
        <f t="shared" si="1"/>
        <v>1.6513511711711715E-3</v>
      </c>
      <c r="E25" s="2">
        <f t="shared" si="0"/>
        <v>1.6106666666666667</v>
      </c>
    </row>
    <row r="26" spans="1:13" x14ac:dyDescent="0.55000000000000004">
      <c r="A26" s="1">
        <v>22.6</v>
      </c>
      <c r="B26" s="1">
        <v>1.8811</v>
      </c>
      <c r="C26" s="1">
        <v>101.47</v>
      </c>
      <c r="D26" s="2">
        <f t="shared" si="1"/>
        <v>1.7270268468468474E-3</v>
      </c>
      <c r="E26" s="2">
        <f t="shared" si="0"/>
        <v>1.6911666666666667</v>
      </c>
      <c r="J26" s="5" t="s">
        <v>12</v>
      </c>
      <c r="K26" s="5"/>
      <c r="L26" s="6">
        <f>MAX(E:E)</f>
        <v>10.321833166666666</v>
      </c>
      <c r="M26" s="5" t="s">
        <v>11</v>
      </c>
    </row>
    <row r="27" spans="1:13" x14ac:dyDescent="0.55000000000000004">
      <c r="A27" s="1">
        <v>22.7</v>
      </c>
      <c r="B27" s="1">
        <v>1.8894</v>
      </c>
      <c r="C27" s="1">
        <v>107.11</v>
      </c>
      <c r="D27" s="2">
        <f t="shared" si="1"/>
        <v>1.8018016216216227E-3</v>
      </c>
      <c r="E27" s="2">
        <f t="shared" si="0"/>
        <v>1.7851666666666666</v>
      </c>
      <c r="J27" s="5" t="s">
        <v>10</v>
      </c>
      <c r="K27" s="5"/>
      <c r="L27" s="5">
        <v>1.2387387207207208E-2</v>
      </c>
      <c r="M27" s="5" t="s">
        <v>18</v>
      </c>
    </row>
    <row r="28" spans="1:13" x14ac:dyDescent="0.55000000000000004">
      <c r="A28" s="1">
        <v>22.8</v>
      </c>
      <c r="B28" s="1">
        <v>1.8976999999999999</v>
      </c>
      <c r="C28" s="1">
        <v>111.94</v>
      </c>
      <c r="D28" s="2">
        <f t="shared" si="1"/>
        <v>1.8765763963963945E-3</v>
      </c>
      <c r="E28" s="2">
        <f t="shared" si="0"/>
        <v>1.8656666666666666</v>
      </c>
    </row>
    <row r="29" spans="1:13" x14ac:dyDescent="0.55000000000000004">
      <c r="A29" s="1">
        <v>22.9</v>
      </c>
      <c r="B29" s="1">
        <v>1.9060999999999999</v>
      </c>
      <c r="C29" s="1">
        <v>116.77</v>
      </c>
      <c r="D29" s="2">
        <f t="shared" si="1"/>
        <v>1.9522520720720703E-3</v>
      </c>
      <c r="E29" s="2">
        <f t="shared" si="0"/>
        <v>1.9461666666666666</v>
      </c>
    </row>
    <row r="30" spans="1:13" x14ac:dyDescent="0.55000000000000004">
      <c r="A30" s="1">
        <v>23</v>
      </c>
      <c r="B30" s="1">
        <v>1.9144000000000001</v>
      </c>
      <c r="C30" s="1">
        <v>121.6</v>
      </c>
      <c r="D30" s="2">
        <f t="shared" si="1"/>
        <v>2.0270268468468491E-3</v>
      </c>
      <c r="E30" s="2">
        <f t="shared" si="0"/>
        <v>2.0266666666666664</v>
      </c>
    </row>
    <row r="31" spans="1:13" x14ac:dyDescent="0.55000000000000004">
      <c r="A31" s="1">
        <v>23.1</v>
      </c>
      <c r="B31" s="1">
        <v>1.9227000000000001</v>
      </c>
      <c r="C31" s="1">
        <v>126.44</v>
      </c>
      <c r="D31" s="2">
        <f t="shared" si="1"/>
        <v>2.1018016216216209E-3</v>
      </c>
      <c r="E31" s="2">
        <f t="shared" si="0"/>
        <v>2.1073333333333335</v>
      </c>
    </row>
    <row r="32" spans="1:13" x14ac:dyDescent="0.55000000000000004">
      <c r="A32" s="1">
        <v>23.2</v>
      </c>
      <c r="B32" s="1">
        <v>1.931</v>
      </c>
      <c r="C32" s="1">
        <v>132.07</v>
      </c>
      <c r="D32" s="2">
        <f t="shared" si="1"/>
        <v>2.1765763963963961E-3</v>
      </c>
      <c r="E32" s="2">
        <f t="shared" si="0"/>
        <v>2.2011666666666665</v>
      </c>
    </row>
    <row r="33" spans="1:5" x14ac:dyDescent="0.55000000000000004">
      <c r="A33" s="1">
        <v>23.3</v>
      </c>
      <c r="B33" s="1">
        <v>1.9394</v>
      </c>
      <c r="C33" s="1">
        <v>136.9</v>
      </c>
      <c r="D33" s="2">
        <f t="shared" si="1"/>
        <v>2.252252072072072E-3</v>
      </c>
      <c r="E33" s="2">
        <f t="shared" si="0"/>
        <v>2.2816666666666667</v>
      </c>
    </row>
    <row r="34" spans="1:5" x14ac:dyDescent="0.55000000000000004">
      <c r="A34" s="1">
        <v>23.4</v>
      </c>
      <c r="B34" s="1">
        <v>1.9477</v>
      </c>
      <c r="C34" s="1">
        <v>141.73999000000001</v>
      </c>
      <c r="D34" s="2">
        <f t="shared" si="1"/>
        <v>2.3270268468468473E-3</v>
      </c>
      <c r="E34" s="2">
        <f t="shared" si="0"/>
        <v>2.3623331666666667</v>
      </c>
    </row>
    <row r="35" spans="1:5" x14ac:dyDescent="0.55000000000000004">
      <c r="A35" s="1">
        <v>23.5</v>
      </c>
      <c r="B35" s="1">
        <v>1.9560999999999999</v>
      </c>
      <c r="C35" s="1">
        <v>147.37001000000001</v>
      </c>
      <c r="D35" s="2">
        <f t="shared" si="1"/>
        <v>2.4027025225225231E-3</v>
      </c>
      <c r="E35" s="2">
        <f t="shared" ref="E35:E66" si="2">C35/$L$4</f>
        <v>2.4561668333333335</v>
      </c>
    </row>
    <row r="36" spans="1:5" x14ac:dyDescent="0.55000000000000004">
      <c r="A36" s="1">
        <v>23.6</v>
      </c>
      <c r="B36" s="1">
        <v>1.9643999999999999</v>
      </c>
      <c r="C36" s="1">
        <v>152.21</v>
      </c>
      <c r="D36" s="2">
        <f t="shared" ref="D36:D67" si="3">(B36/$L$3)-0.01521982</f>
        <v>2.4774772972972949E-3</v>
      </c>
      <c r="E36" s="2">
        <f t="shared" si="2"/>
        <v>2.5368333333333335</v>
      </c>
    </row>
    <row r="37" spans="1:5" x14ac:dyDescent="0.55000000000000004">
      <c r="A37" s="1">
        <v>23.7</v>
      </c>
      <c r="B37" s="1">
        <v>1.9726999999999999</v>
      </c>
      <c r="C37" s="1">
        <v>157.04</v>
      </c>
      <c r="D37" s="2">
        <f t="shared" si="3"/>
        <v>2.5522520720720702E-3</v>
      </c>
      <c r="E37" s="2">
        <f t="shared" si="2"/>
        <v>2.6173333333333333</v>
      </c>
    </row>
    <row r="38" spans="1:5" x14ac:dyDescent="0.55000000000000004">
      <c r="A38" s="1">
        <v>23.8</v>
      </c>
      <c r="B38" s="1">
        <v>1.9811000000000001</v>
      </c>
      <c r="C38" s="1">
        <v>161.87</v>
      </c>
      <c r="D38" s="2">
        <f t="shared" si="3"/>
        <v>2.6279277477477495E-3</v>
      </c>
      <c r="E38" s="2">
        <f t="shared" si="2"/>
        <v>2.6978333333333335</v>
      </c>
    </row>
    <row r="39" spans="1:5" x14ac:dyDescent="0.55000000000000004">
      <c r="A39" s="1">
        <v>23.9</v>
      </c>
      <c r="B39" s="1">
        <v>1.9894000000000001</v>
      </c>
      <c r="C39" s="1">
        <v>167.51</v>
      </c>
      <c r="D39" s="2">
        <f t="shared" si="3"/>
        <v>2.7027025225225213E-3</v>
      </c>
      <c r="E39" s="2">
        <f t="shared" si="2"/>
        <v>2.7918333333333334</v>
      </c>
    </row>
    <row r="40" spans="1:5" x14ac:dyDescent="0.55000000000000004">
      <c r="A40" s="1">
        <v>24</v>
      </c>
      <c r="B40" s="1">
        <v>1.9977</v>
      </c>
      <c r="C40" s="1">
        <v>172.34</v>
      </c>
      <c r="D40" s="2">
        <f t="shared" si="3"/>
        <v>2.7774772972972966E-3</v>
      </c>
      <c r="E40" s="2">
        <f t="shared" si="2"/>
        <v>2.8723333333333332</v>
      </c>
    </row>
    <row r="41" spans="1:5" x14ac:dyDescent="0.55000000000000004">
      <c r="A41" s="1">
        <v>24.1</v>
      </c>
      <c r="B41" s="1">
        <v>2.0059999999999998</v>
      </c>
      <c r="C41" s="1">
        <v>177.17000999999999</v>
      </c>
      <c r="D41" s="2">
        <f t="shared" si="3"/>
        <v>2.8522520720720684E-3</v>
      </c>
      <c r="E41" s="2">
        <f t="shared" si="2"/>
        <v>2.9528334999999997</v>
      </c>
    </row>
    <row r="42" spans="1:5" x14ac:dyDescent="0.55000000000000004">
      <c r="A42" s="1">
        <v>24.2</v>
      </c>
      <c r="B42" s="1">
        <v>2.0144000000000002</v>
      </c>
      <c r="C42" s="1">
        <v>181.99999</v>
      </c>
      <c r="D42" s="2">
        <f t="shared" si="3"/>
        <v>2.9279277477477477E-3</v>
      </c>
      <c r="E42" s="2">
        <f t="shared" si="2"/>
        <v>3.0333331666666665</v>
      </c>
    </row>
    <row r="43" spans="1:5" x14ac:dyDescent="0.55000000000000004">
      <c r="A43" s="1">
        <v>24.3</v>
      </c>
      <c r="B43" s="1">
        <v>2.0226999999999999</v>
      </c>
      <c r="C43" s="1">
        <v>187.63999000000001</v>
      </c>
      <c r="D43" s="2">
        <f t="shared" si="3"/>
        <v>3.002702522522523E-3</v>
      </c>
      <c r="E43" s="2">
        <f t="shared" si="2"/>
        <v>3.1273331666666668</v>
      </c>
    </row>
    <row r="44" spans="1:5" x14ac:dyDescent="0.55000000000000004">
      <c r="A44" s="1">
        <v>24.4</v>
      </c>
      <c r="B44" s="1">
        <v>2.0310999999999999</v>
      </c>
      <c r="C44" s="1">
        <v>192.47</v>
      </c>
      <c r="D44" s="2">
        <f t="shared" si="3"/>
        <v>3.0783781981981988E-3</v>
      </c>
      <c r="E44" s="2">
        <f t="shared" si="2"/>
        <v>3.2078333333333333</v>
      </c>
    </row>
    <row r="45" spans="1:5" x14ac:dyDescent="0.55000000000000004">
      <c r="A45" s="1">
        <v>24.5</v>
      </c>
      <c r="B45" s="1">
        <v>2.0394000000000001</v>
      </c>
      <c r="C45" s="1">
        <v>197.31</v>
      </c>
      <c r="D45" s="2">
        <f t="shared" si="3"/>
        <v>3.1531529729729741E-3</v>
      </c>
      <c r="E45" s="2">
        <f t="shared" si="2"/>
        <v>3.2885</v>
      </c>
    </row>
    <row r="46" spans="1:5" x14ac:dyDescent="0.55000000000000004">
      <c r="A46" s="1">
        <v>24.6</v>
      </c>
      <c r="B46" s="1">
        <v>2.0476999999999999</v>
      </c>
      <c r="C46" s="1">
        <v>202.14</v>
      </c>
      <c r="D46" s="2">
        <f t="shared" si="3"/>
        <v>3.2279277477477459E-3</v>
      </c>
      <c r="E46" s="2">
        <f t="shared" si="2"/>
        <v>3.3689999999999998</v>
      </c>
    </row>
    <row r="47" spans="1:5" x14ac:dyDescent="0.55000000000000004">
      <c r="A47" s="1">
        <v>24.7</v>
      </c>
      <c r="B47" s="1">
        <v>2.0560999999999998</v>
      </c>
      <c r="C47" s="1">
        <v>206.97</v>
      </c>
      <c r="D47" s="2">
        <f t="shared" si="3"/>
        <v>3.3036034234234218E-3</v>
      </c>
      <c r="E47" s="2">
        <f t="shared" si="2"/>
        <v>3.4495</v>
      </c>
    </row>
    <row r="48" spans="1:5" x14ac:dyDescent="0.55000000000000004">
      <c r="A48" s="1">
        <v>24.8</v>
      </c>
      <c r="B48" s="1">
        <v>2.0644</v>
      </c>
      <c r="C48" s="1">
        <v>212.61000999999999</v>
      </c>
      <c r="D48" s="2">
        <f t="shared" si="3"/>
        <v>3.378378198198197E-3</v>
      </c>
      <c r="E48" s="2">
        <f t="shared" si="2"/>
        <v>3.5435001666666666</v>
      </c>
    </row>
    <row r="49" spans="1:5" x14ac:dyDescent="0.55000000000000004">
      <c r="A49" s="1">
        <v>24.9</v>
      </c>
      <c r="B49" s="1">
        <v>2.0727000000000002</v>
      </c>
      <c r="C49" s="1">
        <v>217.43998999999999</v>
      </c>
      <c r="D49" s="2">
        <f t="shared" si="3"/>
        <v>3.4531529729729758E-3</v>
      </c>
      <c r="E49" s="2">
        <f t="shared" si="2"/>
        <v>3.6239998333333334</v>
      </c>
    </row>
    <row r="50" spans="1:5" x14ac:dyDescent="0.55000000000000004">
      <c r="A50" s="1">
        <v>25</v>
      </c>
      <c r="B50" s="1">
        <v>2.081</v>
      </c>
      <c r="C50" s="1">
        <v>222.27</v>
      </c>
      <c r="D50" s="2">
        <f t="shared" si="3"/>
        <v>3.5279277477477475E-3</v>
      </c>
      <c r="E50" s="2">
        <f t="shared" si="2"/>
        <v>3.7045000000000003</v>
      </c>
    </row>
    <row r="51" spans="1:5" x14ac:dyDescent="0.55000000000000004">
      <c r="A51" s="1">
        <v>25.1</v>
      </c>
      <c r="B51" s="1">
        <v>2.0893999999999999</v>
      </c>
      <c r="C51" s="1">
        <v>227.1</v>
      </c>
      <c r="D51" s="2">
        <f t="shared" si="3"/>
        <v>3.6036034234234234E-3</v>
      </c>
      <c r="E51" s="2">
        <f t="shared" si="2"/>
        <v>3.7849999999999997</v>
      </c>
    </row>
    <row r="52" spans="1:5" x14ac:dyDescent="0.55000000000000004">
      <c r="A52" s="1">
        <v>25.2</v>
      </c>
      <c r="B52" s="1">
        <v>2.0977000000000001</v>
      </c>
      <c r="C52" s="1">
        <v>231.94</v>
      </c>
      <c r="D52" s="2">
        <f t="shared" si="3"/>
        <v>3.6783781981981987E-3</v>
      </c>
      <c r="E52" s="2">
        <f t="shared" si="2"/>
        <v>3.8656666666666668</v>
      </c>
    </row>
    <row r="53" spans="1:5" x14ac:dyDescent="0.55000000000000004">
      <c r="A53" s="1">
        <v>25.3</v>
      </c>
      <c r="B53" s="1">
        <v>2.1061000000000001</v>
      </c>
      <c r="C53" s="1">
        <v>236.76999000000001</v>
      </c>
      <c r="D53" s="2">
        <f t="shared" si="3"/>
        <v>3.7540538738738746E-3</v>
      </c>
      <c r="E53" s="2">
        <f t="shared" si="2"/>
        <v>3.9461664999999999</v>
      </c>
    </row>
    <row r="54" spans="1:5" x14ac:dyDescent="0.55000000000000004">
      <c r="A54" s="1">
        <v>25.4</v>
      </c>
      <c r="B54" s="1">
        <v>2.1143999999999998</v>
      </c>
      <c r="C54" s="1">
        <v>241.6</v>
      </c>
      <c r="D54" s="2">
        <f t="shared" si="3"/>
        <v>3.8288286486486463E-3</v>
      </c>
      <c r="E54" s="2">
        <f t="shared" si="2"/>
        <v>4.0266666666666664</v>
      </c>
    </row>
    <row r="55" spans="1:5" x14ac:dyDescent="0.55000000000000004">
      <c r="A55" s="1">
        <v>25.5</v>
      </c>
      <c r="B55" s="1">
        <v>2.1227</v>
      </c>
      <c r="C55" s="1">
        <v>246.42999</v>
      </c>
      <c r="D55" s="2">
        <f t="shared" si="3"/>
        <v>3.9036034234234251E-3</v>
      </c>
      <c r="E55" s="2">
        <f t="shared" si="2"/>
        <v>4.1071664999999999</v>
      </c>
    </row>
    <row r="56" spans="1:5" x14ac:dyDescent="0.55000000000000004">
      <c r="A56" s="1">
        <v>25.6</v>
      </c>
      <c r="B56" s="1">
        <v>2.1311</v>
      </c>
      <c r="C56" s="1">
        <v>251.26000999999999</v>
      </c>
      <c r="D56" s="2">
        <f t="shared" si="3"/>
        <v>3.9792790990990975E-3</v>
      </c>
      <c r="E56" s="2">
        <f t="shared" si="2"/>
        <v>4.1876668333333331</v>
      </c>
    </row>
    <row r="57" spans="1:5" x14ac:dyDescent="0.55000000000000004">
      <c r="A57" s="1">
        <v>25.7</v>
      </c>
      <c r="B57" s="1">
        <v>2.1394000000000002</v>
      </c>
      <c r="C57" s="1">
        <v>256.10000000000002</v>
      </c>
      <c r="D57" s="2">
        <f t="shared" si="3"/>
        <v>4.0540538738738762E-3</v>
      </c>
      <c r="E57" s="2">
        <f t="shared" si="2"/>
        <v>4.2683333333333335</v>
      </c>
    </row>
    <row r="58" spans="1:5" x14ac:dyDescent="0.55000000000000004">
      <c r="A58" s="1">
        <v>25.8</v>
      </c>
      <c r="B58" s="1">
        <v>2.1476999999999999</v>
      </c>
      <c r="C58" s="1">
        <v>260.92998999999998</v>
      </c>
      <c r="D58" s="2">
        <f t="shared" si="3"/>
        <v>4.128828648648648E-3</v>
      </c>
      <c r="E58" s="2">
        <f t="shared" si="2"/>
        <v>4.3488331666666662</v>
      </c>
    </row>
    <row r="59" spans="1:5" x14ac:dyDescent="0.55000000000000004">
      <c r="A59" s="1">
        <v>25.9</v>
      </c>
      <c r="B59" s="1">
        <v>2.1560000000000001</v>
      </c>
      <c r="C59" s="1">
        <v>265.76</v>
      </c>
      <c r="D59" s="2">
        <f t="shared" si="3"/>
        <v>4.2036034234234233E-3</v>
      </c>
      <c r="E59" s="2">
        <f t="shared" si="2"/>
        <v>4.4293333333333331</v>
      </c>
    </row>
    <row r="60" spans="1:5" x14ac:dyDescent="0.55000000000000004">
      <c r="A60" s="1">
        <v>26</v>
      </c>
      <c r="B60" s="1">
        <v>2.1644000000000001</v>
      </c>
      <c r="C60" s="1">
        <v>270.58999</v>
      </c>
      <c r="D60" s="2">
        <f t="shared" si="3"/>
        <v>4.2792790990990991E-3</v>
      </c>
      <c r="E60" s="2">
        <f t="shared" si="2"/>
        <v>4.5098331666666667</v>
      </c>
    </row>
    <row r="61" spans="1:5" x14ac:dyDescent="0.55000000000000004">
      <c r="A61" s="1">
        <v>26.1</v>
      </c>
      <c r="B61" s="1">
        <v>2.1726999999999999</v>
      </c>
      <c r="C61" s="1">
        <v>275.43000999999998</v>
      </c>
      <c r="D61" s="2">
        <f t="shared" si="3"/>
        <v>4.3540538738738709E-3</v>
      </c>
      <c r="E61" s="2">
        <f t="shared" si="2"/>
        <v>4.5905001666666667</v>
      </c>
    </row>
    <row r="62" spans="1:5" x14ac:dyDescent="0.55000000000000004">
      <c r="A62" s="1">
        <v>26.2</v>
      </c>
      <c r="B62" s="1">
        <v>2.1810999999999998</v>
      </c>
      <c r="C62" s="1">
        <v>280.26</v>
      </c>
      <c r="D62" s="2">
        <f t="shared" si="3"/>
        <v>4.4297295495495468E-3</v>
      </c>
      <c r="E62" s="2">
        <f t="shared" si="2"/>
        <v>4.6710000000000003</v>
      </c>
    </row>
    <row r="63" spans="1:5" x14ac:dyDescent="0.55000000000000004">
      <c r="A63" s="1">
        <v>26.3</v>
      </c>
      <c r="B63" s="1">
        <v>2.1894</v>
      </c>
      <c r="C63" s="1">
        <v>284.28001</v>
      </c>
      <c r="D63" s="2">
        <f t="shared" si="3"/>
        <v>4.5045043243243255E-3</v>
      </c>
      <c r="E63" s="2">
        <f t="shared" si="2"/>
        <v>4.7380001666666667</v>
      </c>
    </row>
    <row r="64" spans="1:5" x14ac:dyDescent="0.55000000000000004">
      <c r="A64" s="1">
        <v>26.4</v>
      </c>
      <c r="B64" s="1">
        <v>2.1977000000000002</v>
      </c>
      <c r="C64" s="1">
        <v>289.12</v>
      </c>
      <c r="D64" s="2">
        <f t="shared" si="3"/>
        <v>4.5792790990991008E-3</v>
      </c>
      <c r="E64" s="2">
        <f t="shared" si="2"/>
        <v>4.8186666666666671</v>
      </c>
    </row>
    <row r="65" spans="1:5" x14ac:dyDescent="0.55000000000000004">
      <c r="A65" s="1">
        <v>26.5</v>
      </c>
      <c r="B65" s="1">
        <v>2.2061000000000002</v>
      </c>
      <c r="C65" s="1">
        <v>293.94999000000001</v>
      </c>
      <c r="D65" s="2">
        <f t="shared" si="3"/>
        <v>4.6549547747747767E-3</v>
      </c>
      <c r="E65" s="2">
        <f t="shared" si="2"/>
        <v>4.8991665000000006</v>
      </c>
    </row>
    <row r="66" spans="1:5" x14ac:dyDescent="0.55000000000000004">
      <c r="A66" s="1">
        <v>26.6</v>
      </c>
      <c r="B66" s="1">
        <v>2.2143999999999999</v>
      </c>
      <c r="C66" s="1">
        <v>297.98000999999999</v>
      </c>
      <c r="D66" s="2">
        <f t="shared" si="3"/>
        <v>4.7297295495495485E-3</v>
      </c>
      <c r="E66" s="2">
        <f t="shared" si="2"/>
        <v>4.9663335000000002</v>
      </c>
    </row>
    <row r="67" spans="1:5" x14ac:dyDescent="0.55000000000000004">
      <c r="A67" s="1">
        <v>26.7</v>
      </c>
      <c r="B67" s="1">
        <v>2.2227000000000001</v>
      </c>
      <c r="C67" s="1">
        <v>302.81</v>
      </c>
      <c r="D67" s="2">
        <f t="shared" si="3"/>
        <v>4.8045043243243237E-3</v>
      </c>
      <c r="E67" s="2">
        <f t="shared" ref="E67:E98" si="4">C67/$L$4</f>
        <v>5.0468333333333337</v>
      </c>
    </row>
    <row r="68" spans="1:5" x14ac:dyDescent="0.55000000000000004">
      <c r="A68" s="1">
        <v>26.8</v>
      </c>
      <c r="B68" s="1">
        <v>2.2309999999999999</v>
      </c>
      <c r="C68" s="1">
        <v>307.63999000000001</v>
      </c>
      <c r="D68" s="2">
        <f t="shared" ref="D68:D99" si="5">(B68/$L$3)-0.01521982</f>
        <v>4.879279099099099E-3</v>
      </c>
      <c r="E68" s="2">
        <f t="shared" si="4"/>
        <v>5.1273331666666673</v>
      </c>
    </row>
    <row r="69" spans="1:5" x14ac:dyDescent="0.55000000000000004">
      <c r="A69" s="1">
        <v>26.9</v>
      </c>
      <c r="B69" s="1">
        <v>2.2393999999999998</v>
      </c>
      <c r="C69" s="1">
        <v>312.47000000000003</v>
      </c>
      <c r="D69" s="2">
        <f t="shared" si="5"/>
        <v>4.9549547747747714E-3</v>
      </c>
      <c r="E69" s="2">
        <f t="shared" si="4"/>
        <v>5.2078333333333342</v>
      </c>
    </row>
    <row r="70" spans="1:5" x14ac:dyDescent="0.55000000000000004">
      <c r="A70" s="1">
        <v>27</v>
      </c>
      <c r="B70" s="1">
        <v>2.2477</v>
      </c>
      <c r="C70" s="1">
        <v>316.49999000000003</v>
      </c>
      <c r="D70" s="2">
        <f t="shared" si="5"/>
        <v>5.0297295495495501E-3</v>
      </c>
      <c r="E70" s="2">
        <f t="shared" si="4"/>
        <v>5.2749998333333341</v>
      </c>
    </row>
    <row r="71" spans="1:5" x14ac:dyDescent="0.55000000000000004">
      <c r="A71" s="1">
        <v>27.1</v>
      </c>
      <c r="B71" s="1">
        <v>2.2561</v>
      </c>
      <c r="C71" s="1">
        <v>321.33001000000002</v>
      </c>
      <c r="D71" s="2">
        <f t="shared" si="5"/>
        <v>5.105405225225226E-3</v>
      </c>
      <c r="E71" s="2">
        <f t="shared" si="4"/>
        <v>5.3555001666666673</v>
      </c>
    </row>
    <row r="72" spans="1:5" x14ac:dyDescent="0.55000000000000004">
      <c r="A72" s="1">
        <v>27.2</v>
      </c>
      <c r="B72" s="1">
        <v>2.2644000000000002</v>
      </c>
      <c r="C72" s="1">
        <v>325.36</v>
      </c>
      <c r="D72" s="2">
        <f t="shared" si="5"/>
        <v>5.1801800000000012E-3</v>
      </c>
      <c r="E72" s="2">
        <f t="shared" si="4"/>
        <v>5.4226666666666672</v>
      </c>
    </row>
    <row r="73" spans="1:5" x14ac:dyDescent="0.55000000000000004">
      <c r="A73" s="1">
        <v>27.3</v>
      </c>
      <c r="B73" s="1">
        <v>2.2726999999999999</v>
      </c>
      <c r="C73" s="1">
        <v>330.18999000000002</v>
      </c>
      <c r="D73" s="2">
        <f t="shared" si="5"/>
        <v>5.254954774774773E-3</v>
      </c>
      <c r="E73" s="2">
        <f t="shared" si="4"/>
        <v>5.5031665000000007</v>
      </c>
    </row>
    <row r="74" spans="1:5" x14ac:dyDescent="0.55000000000000004">
      <c r="A74" s="1">
        <v>27.4</v>
      </c>
      <c r="B74" s="1">
        <v>2.2810999999999999</v>
      </c>
      <c r="C74" s="1">
        <v>335.02</v>
      </c>
      <c r="D74" s="2">
        <f t="shared" si="5"/>
        <v>5.3306304504504489E-3</v>
      </c>
      <c r="E74" s="2">
        <f t="shared" si="4"/>
        <v>5.5836666666666668</v>
      </c>
    </row>
    <row r="75" spans="1:5" x14ac:dyDescent="0.55000000000000004">
      <c r="A75" s="1">
        <v>27.5</v>
      </c>
      <c r="B75" s="1">
        <v>2.2894000000000001</v>
      </c>
      <c r="C75" s="1">
        <v>339.04998999999998</v>
      </c>
      <c r="D75" s="2">
        <f t="shared" si="5"/>
        <v>5.4054052252252276E-3</v>
      </c>
      <c r="E75" s="2">
        <f t="shared" si="4"/>
        <v>5.6508331666666667</v>
      </c>
    </row>
    <row r="76" spans="1:5" x14ac:dyDescent="0.55000000000000004">
      <c r="A76" s="1">
        <v>27.6</v>
      </c>
      <c r="B76" s="1">
        <v>2.2976999999999999</v>
      </c>
      <c r="C76" s="1">
        <v>343.88001000000003</v>
      </c>
      <c r="D76" s="2">
        <f t="shared" si="5"/>
        <v>5.4801799999999994E-3</v>
      </c>
      <c r="E76" s="2">
        <f t="shared" si="4"/>
        <v>5.7313335000000007</v>
      </c>
    </row>
    <row r="77" spans="1:5" x14ac:dyDescent="0.55000000000000004">
      <c r="A77" s="1">
        <v>27.7</v>
      </c>
      <c r="B77" s="1">
        <v>2.306</v>
      </c>
      <c r="C77" s="1">
        <v>347.91</v>
      </c>
      <c r="D77" s="2">
        <f t="shared" si="5"/>
        <v>5.5549547747747747E-3</v>
      </c>
      <c r="E77" s="2">
        <f t="shared" si="4"/>
        <v>5.7985000000000007</v>
      </c>
    </row>
    <row r="78" spans="1:5" x14ac:dyDescent="0.55000000000000004">
      <c r="A78" s="1">
        <v>27.8</v>
      </c>
      <c r="B78" s="1">
        <v>2.3144</v>
      </c>
      <c r="C78" s="1">
        <v>352.73998999999998</v>
      </c>
      <c r="D78" s="2">
        <f t="shared" si="5"/>
        <v>5.6306304504504506E-3</v>
      </c>
      <c r="E78" s="2">
        <f t="shared" si="4"/>
        <v>5.8789998333333333</v>
      </c>
    </row>
    <row r="79" spans="1:5" x14ac:dyDescent="0.55000000000000004">
      <c r="A79" s="1">
        <v>27.9</v>
      </c>
      <c r="B79" s="1">
        <v>2.3227000000000002</v>
      </c>
      <c r="C79" s="1">
        <v>356.77001000000001</v>
      </c>
      <c r="D79" s="2">
        <f t="shared" si="5"/>
        <v>5.7054052252252258E-3</v>
      </c>
      <c r="E79" s="2">
        <f t="shared" si="4"/>
        <v>5.9461668333333337</v>
      </c>
    </row>
    <row r="80" spans="1:5" x14ac:dyDescent="0.55000000000000004">
      <c r="A80" s="1">
        <v>28</v>
      </c>
      <c r="B80" s="1">
        <v>2.331</v>
      </c>
      <c r="C80" s="1">
        <v>360.79</v>
      </c>
      <c r="D80" s="2">
        <f t="shared" si="5"/>
        <v>5.7801800000000011E-3</v>
      </c>
      <c r="E80" s="2">
        <f t="shared" si="4"/>
        <v>6.0131666666666668</v>
      </c>
    </row>
    <row r="81" spans="1:5" x14ac:dyDescent="0.55000000000000004">
      <c r="A81" s="1">
        <v>28.1</v>
      </c>
      <c r="B81" s="1">
        <v>2.3393999999999999</v>
      </c>
      <c r="C81" s="1">
        <v>365.62000999999998</v>
      </c>
      <c r="D81" s="2">
        <f t="shared" si="5"/>
        <v>5.8558556756756735E-3</v>
      </c>
      <c r="E81" s="2">
        <f t="shared" si="4"/>
        <v>6.0936668333333328</v>
      </c>
    </row>
    <row r="82" spans="1:5" x14ac:dyDescent="0.55000000000000004">
      <c r="A82" s="1">
        <v>28.2</v>
      </c>
      <c r="B82" s="1">
        <v>2.3477000000000001</v>
      </c>
      <c r="C82" s="1">
        <v>369.65</v>
      </c>
      <c r="D82" s="2">
        <f t="shared" si="5"/>
        <v>5.9306304504504522E-3</v>
      </c>
      <c r="E82" s="2">
        <f t="shared" si="4"/>
        <v>6.1608333333333327</v>
      </c>
    </row>
    <row r="83" spans="1:5" x14ac:dyDescent="0.55000000000000004">
      <c r="A83" s="1">
        <v>28.3</v>
      </c>
      <c r="B83" s="1">
        <v>2.3561000000000001</v>
      </c>
      <c r="C83" s="1">
        <v>374.47998999999999</v>
      </c>
      <c r="D83" s="2">
        <f t="shared" si="5"/>
        <v>6.0063061261261281E-3</v>
      </c>
      <c r="E83" s="2">
        <f t="shared" si="4"/>
        <v>6.2413331666666663</v>
      </c>
    </row>
    <row r="84" spans="1:5" x14ac:dyDescent="0.55000000000000004">
      <c r="A84" s="1">
        <v>28.4</v>
      </c>
      <c r="B84" s="1">
        <v>2.3643999999999998</v>
      </c>
      <c r="C84" s="1">
        <v>378.51001000000002</v>
      </c>
      <c r="D84" s="2">
        <f t="shared" si="5"/>
        <v>6.0810809009008999E-3</v>
      </c>
      <c r="E84" s="2">
        <f t="shared" si="4"/>
        <v>6.3085001666666667</v>
      </c>
    </row>
    <row r="85" spans="1:5" x14ac:dyDescent="0.55000000000000004">
      <c r="A85" s="1">
        <v>28.5</v>
      </c>
      <c r="B85" s="1">
        <v>2.3727</v>
      </c>
      <c r="C85" s="1">
        <v>383.34</v>
      </c>
      <c r="D85" s="2">
        <f t="shared" si="5"/>
        <v>6.1558556756756751E-3</v>
      </c>
      <c r="E85" s="2">
        <f t="shared" si="4"/>
        <v>6.3889999999999993</v>
      </c>
    </row>
    <row r="86" spans="1:5" x14ac:dyDescent="0.55000000000000004">
      <c r="A86" s="1">
        <v>28.6</v>
      </c>
      <c r="B86" s="1">
        <v>2.3809999999999998</v>
      </c>
      <c r="C86" s="1">
        <v>387.36998999999997</v>
      </c>
      <c r="D86" s="2">
        <f t="shared" si="5"/>
        <v>6.2306304504504469E-3</v>
      </c>
      <c r="E86" s="2">
        <f t="shared" si="4"/>
        <v>6.4561664999999993</v>
      </c>
    </row>
    <row r="87" spans="1:5" x14ac:dyDescent="0.55000000000000004">
      <c r="A87" s="1">
        <v>28.7</v>
      </c>
      <c r="B87" s="1">
        <v>2.3894000000000002</v>
      </c>
      <c r="C87" s="1">
        <v>391.40001000000001</v>
      </c>
      <c r="D87" s="2">
        <f t="shared" si="5"/>
        <v>6.3063061261261263E-3</v>
      </c>
      <c r="E87" s="2">
        <f t="shared" si="4"/>
        <v>6.5233335000000006</v>
      </c>
    </row>
    <row r="88" spans="1:5" x14ac:dyDescent="0.55000000000000004">
      <c r="A88" s="1">
        <v>28.8</v>
      </c>
      <c r="B88" s="1">
        <v>2.3976999999999999</v>
      </c>
      <c r="C88" s="1">
        <v>395.42</v>
      </c>
      <c r="D88" s="2">
        <f t="shared" si="5"/>
        <v>6.3810809009009015E-3</v>
      </c>
      <c r="E88" s="2">
        <f t="shared" si="4"/>
        <v>6.5903333333333336</v>
      </c>
    </row>
    <row r="89" spans="1:5" x14ac:dyDescent="0.55000000000000004">
      <c r="A89" s="1">
        <v>28.9</v>
      </c>
      <c r="B89" s="1">
        <v>2.4060000000000001</v>
      </c>
      <c r="C89" s="1">
        <v>400.25000999999997</v>
      </c>
      <c r="D89" s="2">
        <f t="shared" si="5"/>
        <v>6.4558556756756768E-3</v>
      </c>
      <c r="E89" s="2">
        <f t="shared" si="4"/>
        <v>6.6708334999999996</v>
      </c>
    </row>
    <row r="90" spans="1:5" x14ac:dyDescent="0.55000000000000004">
      <c r="A90" s="1">
        <v>29</v>
      </c>
      <c r="B90" s="1">
        <v>2.4144000000000001</v>
      </c>
      <c r="C90" s="1">
        <v>404.28001</v>
      </c>
      <c r="D90" s="2">
        <f t="shared" si="5"/>
        <v>6.5315313513513527E-3</v>
      </c>
      <c r="E90" s="2">
        <f t="shared" si="4"/>
        <v>6.7380001666666667</v>
      </c>
    </row>
    <row r="91" spans="1:5" x14ac:dyDescent="0.55000000000000004">
      <c r="A91" s="1">
        <v>29.1</v>
      </c>
      <c r="B91" s="1">
        <v>2.4226999999999999</v>
      </c>
      <c r="C91" s="1">
        <v>408.31</v>
      </c>
      <c r="D91" s="2">
        <f t="shared" si="5"/>
        <v>6.6063061261261245E-3</v>
      </c>
      <c r="E91" s="2">
        <f t="shared" si="4"/>
        <v>6.8051666666666666</v>
      </c>
    </row>
    <row r="92" spans="1:5" x14ac:dyDescent="0.55000000000000004">
      <c r="A92" s="1">
        <v>29.2</v>
      </c>
      <c r="B92" s="1">
        <v>2.4310999999999998</v>
      </c>
      <c r="C92" s="1">
        <v>412.33999</v>
      </c>
      <c r="D92" s="2">
        <f t="shared" si="5"/>
        <v>6.6819818018018003E-3</v>
      </c>
      <c r="E92" s="2">
        <f t="shared" si="4"/>
        <v>6.8723331666666665</v>
      </c>
    </row>
    <row r="93" spans="1:5" x14ac:dyDescent="0.55000000000000004">
      <c r="A93" s="1">
        <v>29.3</v>
      </c>
      <c r="B93" s="1">
        <v>2.4394</v>
      </c>
      <c r="C93" s="1">
        <v>416.36</v>
      </c>
      <c r="D93" s="2">
        <f t="shared" si="5"/>
        <v>6.7567565765765756E-3</v>
      </c>
      <c r="E93" s="2">
        <f t="shared" si="4"/>
        <v>6.9393333333333338</v>
      </c>
    </row>
    <row r="94" spans="1:5" x14ac:dyDescent="0.55000000000000004">
      <c r="A94" s="1">
        <v>29.4</v>
      </c>
      <c r="B94" s="1">
        <v>2.4477000000000002</v>
      </c>
      <c r="C94" s="1">
        <v>420.38999000000001</v>
      </c>
      <c r="D94" s="2">
        <f t="shared" si="5"/>
        <v>6.8315313513513543E-3</v>
      </c>
      <c r="E94" s="2">
        <f t="shared" si="4"/>
        <v>7.0064998333333337</v>
      </c>
    </row>
    <row r="95" spans="1:5" x14ac:dyDescent="0.55000000000000004">
      <c r="A95" s="1">
        <v>29.5</v>
      </c>
      <c r="B95" s="1">
        <v>2.456</v>
      </c>
      <c r="C95" s="1">
        <v>424.41998999999998</v>
      </c>
      <c r="D95" s="2">
        <f t="shared" si="5"/>
        <v>6.9063061261261261E-3</v>
      </c>
      <c r="E95" s="2">
        <f t="shared" si="4"/>
        <v>7.0736664999999999</v>
      </c>
    </row>
    <row r="96" spans="1:5" x14ac:dyDescent="0.55000000000000004">
      <c r="A96" s="1">
        <v>29.6</v>
      </c>
      <c r="B96" s="1">
        <v>2.4643999999999999</v>
      </c>
      <c r="C96" s="1">
        <v>429.25</v>
      </c>
      <c r="D96" s="2">
        <f t="shared" si="5"/>
        <v>6.981981801801802E-3</v>
      </c>
      <c r="E96" s="2">
        <f t="shared" si="4"/>
        <v>7.1541666666666668</v>
      </c>
    </row>
    <row r="97" spans="1:5" x14ac:dyDescent="0.55000000000000004">
      <c r="A97" s="1">
        <v>29.7</v>
      </c>
      <c r="B97" s="1">
        <v>2.4727000000000001</v>
      </c>
      <c r="C97" s="1">
        <v>432.46999</v>
      </c>
      <c r="D97" s="2">
        <f t="shared" si="5"/>
        <v>7.0567565765765772E-3</v>
      </c>
      <c r="E97" s="2">
        <f t="shared" si="4"/>
        <v>7.2078331666666662</v>
      </c>
    </row>
    <row r="98" spans="1:5" x14ac:dyDescent="0.55000000000000004">
      <c r="A98" s="1">
        <v>29.8</v>
      </c>
      <c r="B98" s="1">
        <v>2.4809999999999999</v>
      </c>
      <c r="C98" s="1">
        <v>437.30000999999999</v>
      </c>
      <c r="D98" s="2">
        <f t="shared" si="5"/>
        <v>7.131531351351349E-3</v>
      </c>
      <c r="E98" s="2">
        <f t="shared" si="4"/>
        <v>7.2883334999999994</v>
      </c>
    </row>
    <row r="99" spans="1:5" x14ac:dyDescent="0.55000000000000004">
      <c r="A99" s="1">
        <v>29.9</v>
      </c>
      <c r="B99" s="1">
        <v>2.4893999999999998</v>
      </c>
      <c r="C99" s="1">
        <v>440.52</v>
      </c>
      <c r="D99" s="2">
        <f t="shared" si="5"/>
        <v>7.2072070270270249E-3</v>
      </c>
      <c r="E99" s="2">
        <f t="shared" ref="E99:E130" si="6">C99/$L$4</f>
        <v>7.3419999999999996</v>
      </c>
    </row>
    <row r="100" spans="1:5" x14ac:dyDescent="0.55000000000000004">
      <c r="A100" s="1">
        <v>30</v>
      </c>
      <c r="B100" s="1">
        <v>2.4977</v>
      </c>
      <c r="C100" s="1">
        <v>444.54998999999998</v>
      </c>
      <c r="D100" s="2">
        <f t="shared" ref="D100:D131" si="7">(B100/$L$3)-0.01521982</f>
        <v>7.2819818018018002E-3</v>
      </c>
      <c r="E100" s="2">
        <f t="shared" si="6"/>
        <v>7.4091664999999995</v>
      </c>
    </row>
    <row r="101" spans="1:5" x14ac:dyDescent="0.55000000000000004">
      <c r="A101" s="1">
        <v>30.1</v>
      </c>
      <c r="B101" s="1">
        <v>2.5061</v>
      </c>
      <c r="C101" s="1">
        <v>448.58001000000002</v>
      </c>
      <c r="D101" s="2">
        <f t="shared" si="7"/>
        <v>7.357657477477476E-3</v>
      </c>
      <c r="E101" s="2">
        <f t="shared" si="6"/>
        <v>7.4763335</v>
      </c>
    </row>
    <row r="102" spans="1:5" x14ac:dyDescent="0.55000000000000004">
      <c r="A102" s="1">
        <v>30.2</v>
      </c>
      <c r="B102" s="1">
        <v>2.5144000000000002</v>
      </c>
      <c r="C102" s="1">
        <v>452.6</v>
      </c>
      <c r="D102" s="2">
        <f t="shared" si="7"/>
        <v>7.4324322522522548E-3</v>
      </c>
      <c r="E102" s="2">
        <f t="shared" si="6"/>
        <v>7.5433333333333339</v>
      </c>
    </row>
    <row r="103" spans="1:5" x14ac:dyDescent="0.55000000000000004">
      <c r="A103" s="1">
        <v>30.3</v>
      </c>
      <c r="B103" s="1">
        <v>2.5226999999999999</v>
      </c>
      <c r="C103" s="1">
        <v>456.62999000000002</v>
      </c>
      <c r="D103" s="2">
        <f t="shared" si="7"/>
        <v>7.5072070270270266E-3</v>
      </c>
      <c r="E103" s="2">
        <f t="shared" si="6"/>
        <v>7.6104998333333338</v>
      </c>
    </row>
    <row r="104" spans="1:5" x14ac:dyDescent="0.55000000000000004">
      <c r="A104" s="1">
        <v>30.4</v>
      </c>
      <c r="B104" s="1">
        <v>2.5310000000000001</v>
      </c>
      <c r="C104" s="1">
        <v>459.85001</v>
      </c>
      <c r="D104" s="2">
        <f t="shared" si="7"/>
        <v>7.5819818018018018E-3</v>
      </c>
      <c r="E104" s="2">
        <f t="shared" si="6"/>
        <v>7.6641668333333337</v>
      </c>
    </row>
    <row r="105" spans="1:5" x14ac:dyDescent="0.55000000000000004">
      <c r="A105" s="1">
        <v>30.5</v>
      </c>
      <c r="B105" s="1">
        <v>2.5394000000000001</v>
      </c>
      <c r="C105" s="1">
        <v>463.88</v>
      </c>
      <c r="D105" s="2">
        <f t="shared" si="7"/>
        <v>7.6576574774774777E-3</v>
      </c>
      <c r="E105" s="2">
        <f t="shared" si="6"/>
        <v>7.7313333333333336</v>
      </c>
    </row>
    <row r="106" spans="1:5" x14ac:dyDescent="0.55000000000000004">
      <c r="A106" s="1">
        <v>30.6</v>
      </c>
      <c r="B106" s="1">
        <v>2.5476999999999999</v>
      </c>
      <c r="C106" s="1">
        <v>467.89999</v>
      </c>
      <c r="D106" s="2">
        <f t="shared" si="7"/>
        <v>7.7324322522522495E-3</v>
      </c>
      <c r="E106" s="2">
        <f t="shared" si="6"/>
        <v>7.7983331666666666</v>
      </c>
    </row>
    <row r="107" spans="1:5" x14ac:dyDescent="0.55000000000000004">
      <c r="A107" s="1">
        <v>30.7</v>
      </c>
      <c r="B107" s="1">
        <v>2.556</v>
      </c>
      <c r="C107" s="1">
        <v>471.92998</v>
      </c>
      <c r="D107" s="2">
        <f t="shared" si="7"/>
        <v>7.8072070270270282E-3</v>
      </c>
      <c r="E107" s="2">
        <f t="shared" si="6"/>
        <v>7.8654996666666666</v>
      </c>
    </row>
    <row r="108" spans="1:5" x14ac:dyDescent="0.55000000000000004">
      <c r="A108" s="1">
        <v>30.8</v>
      </c>
      <c r="B108" s="1">
        <v>2.5644</v>
      </c>
      <c r="C108" s="1">
        <v>475.14997</v>
      </c>
      <c r="D108" s="2">
        <f t="shared" si="7"/>
        <v>7.8828827027027041E-3</v>
      </c>
      <c r="E108" s="2">
        <f t="shared" si="6"/>
        <v>7.9191661666666668</v>
      </c>
    </row>
    <row r="109" spans="1:5" x14ac:dyDescent="0.55000000000000004">
      <c r="A109" s="1">
        <v>30.9</v>
      </c>
      <c r="B109" s="1">
        <v>2.5727000000000002</v>
      </c>
      <c r="C109" s="1">
        <v>479.17998999999998</v>
      </c>
      <c r="D109" s="2">
        <f t="shared" si="7"/>
        <v>7.9576574774774794E-3</v>
      </c>
      <c r="E109" s="2">
        <f t="shared" si="6"/>
        <v>7.9863331666666664</v>
      </c>
    </row>
    <row r="110" spans="1:5" x14ac:dyDescent="0.55000000000000004">
      <c r="A110" s="1">
        <v>31</v>
      </c>
      <c r="B110" s="1">
        <v>2.5811000000000002</v>
      </c>
      <c r="C110" s="1">
        <v>482.39999</v>
      </c>
      <c r="D110" s="2">
        <f t="shared" si="7"/>
        <v>8.0333331531531552E-3</v>
      </c>
      <c r="E110" s="2">
        <f t="shared" si="6"/>
        <v>8.0399998333333329</v>
      </c>
    </row>
    <row r="111" spans="1:5" x14ac:dyDescent="0.55000000000000004">
      <c r="A111" s="1">
        <v>31.1</v>
      </c>
      <c r="B111" s="1">
        <v>2.5893999999999999</v>
      </c>
      <c r="C111" s="1">
        <v>486.43</v>
      </c>
      <c r="D111" s="2">
        <f t="shared" si="7"/>
        <v>8.108107927927927E-3</v>
      </c>
      <c r="E111" s="2">
        <f t="shared" si="6"/>
        <v>8.1071666666666662</v>
      </c>
    </row>
    <row r="112" spans="1:5" x14ac:dyDescent="0.55000000000000004">
      <c r="A112" s="1">
        <v>31.2</v>
      </c>
      <c r="B112" s="1">
        <v>2.5977000000000001</v>
      </c>
      <c r="C112" s="1">
        <v>489.65</v>
      </c>
      <c r="D112" s="2">
        <f t="shared" si="7"/>
        <v>8.1828827027027023E-3</v>
      </c>
      <c r="E112" s="2">
        <f t="shared" si="6"/>
        <v>8.1608333333333327</v>
      </c>
    </row>
    <row r="113" spans="1:5" x14ac:dyDescent="0.55000000000000004">
      <c r="A113" s="1">
        <v>31.3</v>
      </c>
      <c r="B113" s="1">
        <v>2.6059999999999999</v>
      </c>
      <c r="C113" s="1">
        <v>493.68002000000001</v>
      </c>
      <c r="D113" s="2">
        <f t="shared" si="7"/>
        <v>8.2576574774774775E-3</v>
      </c>
      <c r="E113" s="2">
        <f t="shared" si="6"/>
        <v>8.228000333333334</v>
      </c>
    </row>
    <row r="114" spans="1:5" x14ac:dyDescent="0.55000000000000004">
      <c r="A114" s="1">
        <v>31.4</v>
      </c>
      <c r="B114" s="1">
        <v>2.6143999999999998</v>
      </c>
      <c r="C114" s="1">
        <v>496.90001000000001</v>
      </c>
      <c r="D114" s="2">
        <f t="shared" si="7"/>
        <v>8.3333331531531499E-3</v>
      </c>
      <c r="E114" s="2">
        <f t="shared" si="6"/>
        <v>8.2816668333333343</v>
      </c>
    </row>
    <row r="115" spans="1:5" x14ac:dyDescent="0.55000000000000004">
      <c r="A115" s="1">
        <v>31.5</v>
      </c>
      <c r="B115" s="1">
        <v>2.6227</v>
      </c>
      <c r="C115" s="1">
        <v>500.92002000000002</v>
      </c>
      <c r="D115" s="2">
        <f t="shared" si="7"/>
        <v>8.4081079279279287E-3</v>
      </c>
      <c r="E115" s="2">
        <f t="shared" si="6"/>
        <v>8.3486670000000007</v>
      </c>
    </row>
    <row r="116" spans="1:5" x14ac:dyDescent="0.55000000000000004">
      <c r="A116" s="1">
        <v>31.6</v>
      </c>
      <c r="B116" s="1">
        <v>2.6309999999999998</v>
      </c>
      <c r="C116" s="1">
        <v>504.15001999999998</v>
      </c>
      <c r="D116" s="2">
        <f t="shared" si="7"/>
        <v>8.4828827027027005E-3</v>
      </c>
      <c r="E116" s="2">
        <f t="shared" si="6"/>
        <v>8.4025003333333323</v>
      </c>
    </row>
    <row r="117" spans="1:5" x14ac:dyDescent="0.55000000000000004">
      <c r="A117" s="1">
        <v>31.7</v>
      </c>
      <c r="B117" s="1">
        <v>2.6394000000000002</v>
      </c>
      <c r="C117" s="1">
        <v>507.37000999999998</v>
      </c>
      <c r="D117" s="2">
        <f t="shared" si="7"/>
        <v>8.5585583783783798E-3</v>
      </c>
      <c r="E117" s="2">
        <f t="shared" si="6"/>
        <v>8.4561668333333326</v>
      </c>
    </row>
    <row r="118" spans="1:5" x14ac:dyDescent="0.55000000000000004">
      <c r="A118" s="1">
        <v>31.8</v>
      </c>
      <c r="B118" s="1">
        <v>2.6476999999999999</v>
      </c>
      <c r="C118" s="1">
        <v>511.39003000000002</v>
      </c>
      <c r="D118" s="2">
        <f t="shared" si="7"/>
        <v>8.6333331531531516E-3</v>
      </c>
      <c r="E118" s="2">
        <f t="shared" si="6"/>
        <v>8.5231671666666671</v>
      </c>
    </row>
    <row r="119" spans="1:5" x14ac:dyDescent="0.55000000000000004">
      <c r="A119" s="1">
        <v>31.9</v>
      </c>
      <c r="B119" s="1">
        <v>2.6560999999999999</v>
      </c>
      <c r="C119" s="1">
        <v>514.61001999999996</v>
      </c>
      <c r="D119" s="2">
        <f t="shared" si="7"/>
        <v>8.7090088288288275E-3</v>
      </c>
      <c r="E119" s="2">
        <f t="shared" si="6"/>
        <v>8.5768336666666656</v>
      </c>
    </row>
    <row r="120" spans="1:5" x14ac:dyDescent="0.55000000000000004">
      <c r="A120" s="1">
        <v>32</v>
      </c>
      <c r="B120" s="1">
        <v>2.6644000000000001</v>
      </c>
      <c r="C120" s="1">
        <v>517.84001000000001</v>
      </c>
      <c r="D120" s="2">
        <f t="shared" si="7"/>
        <v>8.7837836036036027E-3</v>
      </c>
      <c r="E120" s="2">
        <f t="shared" si="6"/>
        <v>8.6306668333333327</v>
      </c>
    </row>
    <row r="121" spans="1:5" x14ac:dyDescent="0.55000000000000004">
      <c r="A121" s="1">
        <v>32.1</v>
      </c>
      <c r="B121" s="1">
        <v>2.6726999999999999</v>
      </c>
      <c r="C121" s="1">
        <v>521.05999999999995</v>
      </c>
      <c r="D121" s="2">
        <f t="shared" si="7"/>
        <v>8.858558378378378E-3</v>
      </c>
      <c r="E121" s="2">
        <f t="shared" si="6"/>
        <v>8.684333333333333</v>
      </c>
    </row>
    <row r="122" spans="1:5" x14ac:dyDescent="0.55000000000000004">
      <c r="A122" s="1">
        <v>32.200000000000003</v>
      </c>
      <c r="B122" s="1">
        <v>2.681</v>
      </c>
      <c r="C122" s="1">
        <v>524.28</v>
      </c>
      <c r="D122" s="2">
        <f t="shared" si="7"/>
        <v>8.9333331531531533E-3</v>
      </c>
      <c r="E122" s="2">
        <f t="shared" si="6"/>
        <v>8.7379999999999995</v>
      </c>
    </row>
    <row r="123" spans="1:5" x14ac:dyDescent="0.55000000000000004">
      <c r="A123" s="1">
        <v>32.299999999999997</v>
      </c>
      <c r="B123" s="1">
        <v>2.6894</v>
      </c>
      <c r="C123" s="1">
        <v>527.49999000000003</v>
      </c>
      <c r="D123" s="2">
        <f t="shared" si="7"/>
        <v>9.0090088288288291E-3</v>
      </c>
      <c r="E123" s="2">
        <f t="shared" si="6"/>
        <v>8.7916664999999998</v>
      </c>
    </row>
    <row r="124" spans="1:5" x14ac:dyDescent="0.55000000000000004">
      <c r="A124" s="1">
        <v>32.4</v>
      </c>
      <c r="B124" s="1">
        <v>2.6977000000000002</v>
      </c>
      <c r="C124" s="1">
        <v>530.71997999999996</v>
      </c>
      <c r="D124" s="2">
        <f t="shared" si="7"/>
        <v>9.0837836036036044E-3</v>
      </c>
      <c r="E124" s="2">
        <f t="shared" si="6"/>
        <v>8.8453330000000001</v>
      </c>
    </row>
    <row r="125" spans="1:5" x14ac:dyDescent="0.55000000000000004">
      <c r="A125" s="1">
        <v>32.5</v>
      </c>
      <c r="B125" s="1">
        <v>2.706</v>
      </c>
      <c r="C125" s="1">
        <v>533.93997000000002</v>
      </c>
      <c r="D125" s="2">
        <f t="shared" si="7"/>
        <v>9.1585583783783762E-3</v>
      </c>
      <c r="E125" s="2">
        <f t="shared" si="6"/>
        <v>8.8989995000000004</v>
      </c>
    </row>
    <row r="126" spans="1:5" x14ac:dyDescent="0.55000000000000004">
      <c r="A126" s="1">
        <v>32.6</v>
      </c>
      <c r="B126" s="1">
        <v>2.7143999999999999</v>
      </c>
      <c r="C126" s="1">
        <v>537.16002000000003</v>
      </c>
      <c r="D126" s="2">
        <f t="shared" si="7"/>
        <v>9.2342340540540521E-3</v>
      </c>
      <c r="E126" s="2">
        <f t="shared" si="6"/>
        <v>8.9526669999999999</v>
      </c>
    </row>
    <row r="127" spans="1:5" x14ac:dyDescent="0.55000000000000004">
      <c r="A127" s="1">
        <v>32.700000000000003</v>
      </c>
      <c r="B127" s="1">
        <v>2.7227000000000001</v>
      </c>
      <c r="C127" s="1">
        <v>540.39000999999996</v>
      </c>
      <c r="D127" s="2">
        <f t="shared" si="7"/>
        <v>9.3090088288288308E-3</v>
      </c>
      <c r="E127" s="2">
        <f t="shared" si="6"/>
        <v>9.0065001666666653</v>
      </c>
    </row>
    <row r="128" spans="1:5" x14ac:dyDescent="0.55000000000000004">
      <c r="A128" s="1">
        <v>32.799999999999997</v>
      </c>
      <c r="B128" s="1">
        <v>2.7311000000000001</v>
      </c>
      <c r="C128" s="1">
        <v>543.61000999999999</v>
      </c>
      <c r="D128" s="2">
        <f t="shared" si="7"/>
        <v>9.3846845045045067E-3</v>
      </c>
      <c r="E128" s="2">
        <f t="shared" si="6"/>
        <v>9.0601668333333336</v>
      </c>
    </row>
    <row r="129" spans="1:5" x14ac:dyDescent="0.55000000000000004">
      <c r="A129" s="1">
        <v>32.9</v>
      </c>
      <c r="B129" s="1">
        <v>2.7393999999999998</v>
      </c>
      <c r="C129" s="1">
        <v>546.83000000000004</v>
      </c>
      <c r="D129" s="2">
        <f t="shared" si="7"/>
        <v>9.4594592792792784E-3</v>
      </c>
      <c r="E129" s="2">
        <f t="shared" si="6"/>
        <v>9.1138333333333339</v>
      </c>
    </row>
    <row r="130" spans="1:5" x14ac:dyDescent="0.55000000000000004">
      <c r="A130" s="1">
        <v>33</v>
      </c>
      <c r="B130" s="1">
        <v>2.7477</v>
      </c>
      <c r="C130" s="1">
        <v>549.25001999999995</v>
      </c>
      <c r="D130" s="2">
        <f t="shared" si="7"/>
        <v>9.5342340540540537E-3</v>
      </c>
      <c r="E130" s="2">
        <f t="shared" si="6"/>
        <v>9.1541669999999993</v>
      </c>
    </row>
    <row r="131" spans="1:5" x14ac:dyDescent="0.55000000000000004">
      <c r="A131" s="1">
        <v>33.1</v>
      </c>
      <c r="B131" s="1">
        <v>2.7559999999999998</v>
      </c>
      <c r="C131" s="1">
        <v>552.47001</v>
      </c>
      <c r="D131" s="2">
        <f t="shared" si="7"/>
        <v>9.6090088288288255E-3</v>
      </c>
      <c r="E131" s="2">
        <f t="shared" ref="E131:E162" si="8">C131/$L$4</f>
        <v>9.2078334999999996</v>
      </c>
    </row>
    <row r="132" spans="1:5" x14ac:dyDescent="0.55000000000000004">
      <c r="A132" s="1">
        <v>33.200000000000003</v>
      </c>
      <c r="B132" s="1">
        <v>2.7644000000000002</v>
      </c>
      <c r="C132" s="1">
        <v>554.87998000000005</v>
      </c>
      <c r="D132" s="2">
        <f t="shared" ref="D132:D163" si="9">(B132/$L$3)-0.01521982</f>
        <v>9.6846845045045048E-3</v>
      </c>
      <c r="E132" s="2">
        <f t="shared" si="8"/>
        <v>9.2479996666666668</v>
      </c>
    </row>
    <row r="133" spans="1:5" x14ac:dyDescent="0.55000000000000004">
      <c r="A133" s="1">
        <v>33.299999999999997</v>
      </c>
      <c r="B133" s="1">
        <v>2.7726999999999999</v>
      </c>
      <c r="C133" s="1">
        <v>558.10002999999995</v>
      </c>
      <c r="D133" s="2">
        <f t="shared" si="9"/>
        <v>9.7594592792792801E-3</v>
      </c>
      <c r="E133" s="2">
        <f t="shared" si="8"/>
        <v>9.3016671666666664</v>
      </c>
    </row>
    <row r="134" spans="1:5" x14ac:dyDescent="0.55000000000000004">
      <c r="A134" s="1">
        <v>33.4</v>
      </c>
      <c r="B134" s="1">
        <v>2.7810000000000001</v>
      </c>
      <c r="C134" s="1">
        <v>561.33001999999999</v>
      </c>
      <c r="D134" s="2">
        <f t="shared" si="9"/>
        <v>9.8342340540540554E-3</v>
      </c>
      <c r="E134" s="2">
        <f t="shared" si="8"/>
        <v>9.3555003333333335</v>
      </c>
    </row>
    <row r="135" spans="1:5" x14ac:dyDescent="0.55000000000000004">
      <c r="A135" s="1">
        <v>33.5</v>
      </c>
      <c r="B135" s="1">
        <v>2.7894000000000001</v>
      </c>
      <c r="C135" s="1">
        <v>563.73999000000003</v>
      </c>
      <c r="D135" s="2">
        <f t="shared" si="9"/>
        <v>9.9099097297297312E-3</v>
      </c>
      <c r="E135" s="2">
        <f t="shared" si="8"/>
        <v>9.3956665000000008</v>
      </c>
    </row>
    <row r="136" spans="1:5" x14ac:dyDescent="0.55000000000000004">
      <c r="A136" s="1">
        <v>33.6</v>
      </c>
      <c r="B136" s="1">
        <v>2.7976999999999999</v>
      </c>
      <c r="C136" s="1">
        <v>566.95997999999997</v>
      </c>
      <c r="D136" s="2">
        <f t="shared" si="9"/>
        <v>9.984684504504503E-3</v>
      </c>
      <c r="E136" s="2">
        <f t="shared" si="8"/>
        <v>9.4493329999999993</v>
      </c>
    </row>
    <row r="137" spans="1:5" x14ac:dyDescent="0.55000000000000004">
      <c r="A137" s="1">
        <v>33.700000000000003</v>
      </c>
      <c r="B137" s="1">
        <v>2.8060999999999998</v>
      </c>
      <c r="C137" s="1">
        <v>569.38</v>
      </c>
      <c r="D137" s="2">
        <f t="shared" si="9"/>
        <v>1.0060360180180179E-2</v>
      </c>
      <c r="E137" s="2">
        <f t="shared" si="8"/>
        <v>9.4896666666666665</v>
      </c>
    </row>
    <row r="138" spans="1:5" x14ac:dyDescent="0.55000000000000004">
      <c r="A138" s="1">
        <v>33.799999999999997</v>
      </c>
      <c r="B138" s="1">
        <v>2.8144</v>
      </c>
      <c r="C138" s="1">
        <v>571.79002000000003</v>
      </c>
      <c r="D138" s="2">
        <f t="shared" si="9"/>
        <v>1.0135134954954954E-2</v>
      </c>
      <c r="E138" s="2">
        <f t="shared" si="8"/>
        <v>9.5298336666666668</v>
      </c>
    </row>
    <row r="139" spans="1:5" x14ac:dyDescent="0.55000000000000004">
      <c r="A139" s="1">
        <v>33.9</v>
      </c>
      <c r="B139" s="1">
        <v>2.8227000000000002</v>
      </c>
      <c r="C139" s="1">
        <v>574.20998999999995</v>
      </c>
      <c r="D139" s="2">
        <f t="shared" si="9"/>
        <v>1.0209909729729733E-2</v>
      </c>
      <c r="E139" s="2">
        <f t="shared" si="8"/>
        <v>9.5701664999999991</v>
      </c>
    </row>
    <row r="140" spans="1:5" x14ac:dyDescent="0.55000000000000004">
      <c r="A140" s="1">
        <v>34</v>
      </c>
      <c r="B140" s="1">
        <v>2.831</v>
      </c>
      <c r="C140" s="1">
        <v>576.63000999999997</v>
      </c>
      <c r="D140" s="2">
        <f t="shared" si="9"/>
        <v>1.0284684504504505E-2</v>
      </c>
      <c r="E140" s="2">
        <f t="shared" si="8"/>
        <v>9.6105001666666663</v>
      </c>
    </row>
    <row r="141" spans="1:5" x14ac:dyDescent="0.55000000000000004">
      <c r="A141" s="1">
        <v>34.1</v>
      </c>
      <c r="B141" s="1">
        <v>2.8393999999999999</v>
      </c>
      <c r="C141" s="1">
        <v>579.03998000000001</v>
      </c>
      <c r="D141" s="2">
        <f t="shared" si="9"/>
        <v>1.0360360180180181E-2</v>
      </c>
      <c r="E141" s="2">
        <f t="shared" si="8"/>
        <v>9.6506663333333336</v>
      </c>
    </row>
    <row r="142" spans="1:5" x14ac:dyDescent="0.55000000000000004">
      <c r="A142" s="1">
        <v>34.200000000000003</v>
      </c>
      <c r="B142" s="1">
        <v>2.8477000000000001</v>
      </c>
      <c r="C142" s="1">
        <v>582.26002000000005</v>
      </c>
      <c r="D142" s="2">
        <f t="shared" si="9"/>
        <v>1.0435134954954956E-2</v>
      </c>
      <c r="E142" s="2">
        <f t="shared" si="8"/>
        <v>9.7043336666666669</v>
      </c>
    </row>
    <row r="143" spans="1:5" x14ac:dyDescent="0.55000000000000004">
      <c r="A143" s="1">
        <v>34.299999999999997</v>
      </c>
      <c r="B143" s="1">
        <v>2.8559999999999999</v>
      </c>
      <c r="C143" s="1">
        <v>584.67998999999998</v>
      </c>
      <c r="D143" s="2">
        <f t="shared" si="9"/>
        <v>1.0509909729729728E-2</v>
      </c>
      <c r="E143" s="2">
        <f t="shared" si="8"/>
        <v>9.7446664999999992</v>
      </c>
    </row>
    <row r="144" spans="1:5" x14ac:dyDescent="0.55000000000000004">
      <c r="A144" s="1">
        <v>34.4</v>
      </c>
      <c r="B144" s="1">
        <v>2.8643999999999998</v>
      </c>
      <c r="C144" s="1">
        <v>587.10001</v>
      </c>
      <c r="D144" s="2">
        <f t="shared" si="9"/>
        <v>1.0585585405405403E-2</v>
      </c>
      <c r="E144" s="2">
        <f t="shared" si="8"/>
        <v>9.7850001666666664</v>
      </c>
    </row>
    <row r="145" spans="1:5" x14ac:dyDescent="0.55000000000000004">
      <c r="A145" s="1">
        <v>34.5</v>
      </c>
      <c r="B145" s="1">
        <v>2.8727</v>
      </c>
      <c r="C145" s="1">
        <v>589.50998000000004</v>
      </c>
      <c r="D145" s="2">
        <f t="shared" si="9"/>
        <v>1.0660360180180179E-2</v>
      </c>
      <c r="E145" s="2">
        <f t="shared" si="8"/>
        <v>9.8251663333333337</v>
      </c>
    </row>
    <row r="146" spans="1:5" x14ac:dyDescent="0.55000000000000004">
      <c r="A146" s="1">
        <v>34.6</v>
      </c>
      <c r="B146" s="1">
        <v>2.8811</v>
      </c>
      <c r="C146" s="1">
        <v>591.11996999999997</v>
      </c>
      <c r="D146" s="2">
        <f t="shared" si="9"/>
        <v>1.0736035855855855E-2</v>
      </c>
      <c r="E146" s="2">
        <f t="shared" si="8"/>
        <v>9.8519994999999998</v>
      </c>
    </row>
    <row r="147" spans="1:5" x14ac:dyDescent="0.55000000000000004">
      <c r="A147" s="1">
        <v>34.700000000000003</v>
      </c>
      <c r="B147" s="1">
        <v>2.8894000000000002</v>
      </c>
      <c r="C147" s="1">
        <v>593.54</v>
      </c>
      <c r="D147" s="2">
        <f t="shared" si="9"/>
        <v>1.0810810630630633E-2</v>
      </c>
      <c r="E147" s="2">
        <f t="shared" si="8"/>
        <v>9.8923333333333332</v>
      </c>
    </row>
    <row r="148" spans="1:5" x14ac:dyDescent="0.55000000000000004">
      <c r="A148" s="1">
        <v>34.799999999999997</v>
      </c>
      <c r="B148" s="1">
        <v>2.8976999999999999</v>
      </c>
      <c r="C148" s="1">
        <v>595.96001999999999</v>
      </c>
      <c r="D148" s="2">
        <f t="shared" si="9"/>
        <v>1.0885585405405405E-2</v>
      </c>
      <c r="E148" s="2">
        <f t="shared" si="8"/>
        <v>9.9326670000000004</v>
      </c>
    </row>
    <row r="149" spans="1:5" x14ac:dyDescent="0.55000000000000004">
      <c r="A149" s="1">
        <v>34.9</v>
      </c>
      <c r="B149" s="1">
        <v>2.9060000000000001</v>
      </c>
      <c r="C149" s="1">
        <v>597.57002</v>
      </c>
      <c r="D149" s="2">
        <f t="shared" si="9"/>
        <v>1.096036018018018E-2</v>
      </c>
      <c r="E149" s="2">
        <f t="shared" si="8"/>
        <v>9.9595003333333327</v>
      </c>
    </row>
    <row r="150" spans="1:5" x14ac:dyDescent="0.55000000000000004">
      <c r="A150" s="1">
        <v>35</v>
      </c>
      <c r="B150" s="1">
        <v>2.9144000000000001</v>
      </c>
      <c r="C150" s="1">
        <v>599.97997999999995</v>
      </c>
      <c r="D150" s="2">
        <f t="shared" si="9"/>
        <v>1.1036035855855856E-2</v>
      </c>
      <c r="E150" s="2">
        <f t="shared" si="8"/>
        <v>9.999666333333332</v>
      </c>
    </row>
    <row r="151" spans="1:5" x14ac:dyDescent="0.55000000000000004">
      <c r="A151" s="1">
        <v>35.1</v>
      </c>
      <c r="B151" s="1">
        <v>2.9226999999999999</v>
      </c>
      <c r="C151" s="1">
        <v>601.58997999999997</v>
      </c>
      <c r="D151" s="2">
        <f t="shared" si="9"/>
        <v>1.1110810630630628E-2</v>
      </c>
      <c r="E151" s="2">
        <f t="shared" si="8"/>
        <v>10.026499666666666</v>
      </c>
    </row>
    <row r="152" spans="1:5" x14ac:dyDescent="0.55000000000000004">
      <c r="A152" s="1">
        <v>35.200000000000003</v>
      </c>
      <c r="B152" s="1">
        <v>2.931</v>
      </c>
      <c r="C152" s="1">
        <v>604.01</v>
      </c>
      <c r="D152" s="2">
        <f t="shared" si="9"/>
        <v>1.1185585405405407E-2</v>
      </c>
      <c r="E152" s="2">
        <f t="shared" si="8"/>
        <v>10.066833333333333</v>
      </c>
    </row>
    <row r="153" spans="1:5" x14ac:dyDescent="0.55000000000000004">
      <c r="A153" s="1">
        <v>35.299999999999997</v>
      </c>
      <c r="B153" s="1">
        <v>2.9394</v>
      </c>
      <c r="C153" s="1">
        <v>605.62</v>
      </c>
      <c r="D153" s="2">
        <f t="shared" si="9"/>
        <v>1.1261261081081083E-2</v>
      </c>
      <c r="E153" s="2">
        <f t="shared" si="8"/>
        <v>10.093666666666667</v>
      </c>
    </row>
    <row r="154" spans="1:5" x14ac:dyDescent="0.55000000000000004">
      <c r="A154" s="1">
        <v>35.4</v>
      </c>
      <c r="B154" s="1">
        <v>2.9477000000000002</v>
      </c>
      <c r="C154" s="1">
        <v>607.22999000000004</v>
      </c>
      <c r="D154" s="2">
        <f t="shared" si="9"/>
        <v>1.1336035855855858E-2</v>
      </c>
      <c r="E154" s="2">
        <f t="shared" si="8"/>
        <v>10.120499833333334</v>
      </c>
    </row>
    <row r="155" spans="1:5" x14ac:dyDescent="0.55000000000000004">
      <c r="A155" s="1">
        <v>35.5</v>
      </c>
      <c r="B155" s="1">
        <v>2.956</v>
      </c>
      <c r="C155" s="1">
        <v>608.83998999999994</v>
      </c>
      <c r="D155" s="2">
        <f t="shared" si="9"/>
        <v>1.141081063063063E-2</v>
      </c>
      <c r="E155" s="2">
        <f t="shared" si="8"/>
        <v>10.147333166666666</v>
      </c>
    </row>
    <row r="156" spans="1:5" x14ac:dyDescent="0.55000000000000004">
      <c r="A156" s="1">
        <v>35.6</v>
      </c>
      <c r="B156" s="1">
        <v>2.9643999999999999</v>
      </c>
      <c r="C156" s="1">
        <v>610.44997999999998</v>
      </c>
      <c r="D156" s="2">
        <f t="shared" si="9"/>
        <v>1.1486486306306306E-2</v>
      </c>
      <c r="E156" s="2">
        <f t="shared" si="8"/>
        <v>10.174166333333334</v>
      </c>
    </row>
    <row r="157" spans="1:5" x14ac:dyDescent="0.55000000000000004">
      <c r="A157" s="1">
        <v>35.700000000000003</v>
      </c>
      <c r="B157" s="1">
        <v>2.9727000000000001</v>
      </c>
      <c r="C157" s="1">
        <v>612.05998</v>
      </c>
      <c r="D157" s="2">
        <f t="shared" si="9"/>
        <v>1.1561261081081081E-2</v>
      </c>
      <c r="E157" s="2">
        <f t="shared" si="8"/>
        <v>10.200999666666666</v>
      </c>
    </row>
    <row r="158" spans="1:5" x14ac:dyDescent="0.55000000000000004">
      <c r="A158" s="1">
        <v>35.799999999999997</v>
      </c>
      <c r="B158" s="1">
        <v>2.9809999999999999</v>
      </c>
      <c r="C158" s="1">
        <v>613.66998000000001</v>
      </c>
      <c r="D158" s="2">
        <f t="shared" si="9"/>
        <v>1.1636035855855856E-2</v>
      </c>
      <c r="E158" s="2">
        <f t="shared" si="8"/>
        <v>10.227833</v>
      </c>
    </row>
    <row r="159" spans="1:5" x14ac:dyDescent="0.55000000000000004">
      <c r="A159" s="1">
        <v>35.9</v>
      </c>
      <c r="B159" s="1">
        <v>2.9893999999999998</v>
      </c>
      <c r="C159" s="1">
        <v>614.48</v>
      </c>
      <c r="D159" s="2">
        <f t="shared" si="9"/>
        <v>1.1711711531531529E-2</v>
      </c>
      <c r="E159" s="2">
        <f t="shared" si="8"/>
        <v>10.241333333333333</v>
      </c>
    </row>
    <row r="160" spans="1:5" x14ac:dyDescent="0.55000000000000004">
      <c r="A160" s="1">
        <v>36</v>
      </c>
      <c r="B160" s="1">
        <v>2.9977</v>
      </c>
      <c r="C160" s="1">
        <v>616.09</v>
      </c>
      <c r="D160" s="2">
        <f t="shared" si="9"/>
        <v>1.1786486306306307E-2</v>
      </c>
      <c r="E160" s="2">
        <f t="shared" si="8"/>
        <v>10.268166666666668</v>
      </c>
    </row>
    <row r="161" spans="1:5" x14ac:dyDescent="0.55000000000000004">
      <c r="A161" s="1">
        <v>36.1</v>
      </c>
      <c r="B161" s="1">
        <v>3.0059999999999998</v>
      </c>
      <c r="C161" s="1">
        <v>616.89002000000005</v>
      </c>
      <c r="D161" s="2">
        <f t="shared" si="9"/>
        <v>1.1861261081081079E-2</v>
      </c>
      <c r="E161" s="2">
        <f t="shared" si="8"/>
        <v>10.281500333333334</v>
      </c>
    </row>
    <row r="162" spans="1:5" x14ac:dyDescent="0.55000000000000004">
      <c r="A162" s="1">
        <v>36.200000000000003</v>
      </c>
      <c r="B162" s="1">
        <v>3.0144000000000002</v>
      </c>
      <c r="C162" s="1">
        <v>617.70000000000005</v>
      </c>
      <c r="D162" s="2">
        <f t="shared" si="9"/>
        <v>1.1936936756756758E-2</v>
      </c>
      <c r="E162" s="2">
        <f t="shared" si="8"/>
        <v>10.295</v>
      </c>
    </row>
    <row r="163" spans="1:5" x14ac:dyDescent="0.55000000000000004">
      <c r="A163" s="1">
        <v>36.299999999999997</v>
      </c>
      <c r="B163" s="1">
        <v>3.0226999999999999</v>
      </c>
      <c r="C163" s="1">
        <v>618.51002000000005</v>
      </c>
      <c r="D163" s="2">
        <f t="shared" si="9"/>
        <v>1.201171153153153E-2</v>
      </c>
      <c r="E163" s="2">
        <f t="shared" ref="E163:E174" si="10">C163/$L$4</f>
        <v>10.308500333333335</v>
      </c>
    </row>
    <row r="164" spans="1:5" x14ac:dyDescent="0.55000000000000004">
      <c r="A164" s="1">
        <v>36.4</v>
      </c>
      <c r="B164" s="1">
        <v>3.0310000000000001</v>
      </c>
      <c r="C164" s="1">
        <v>619.30998999999997</v>
      </c>
      <c r="D164" s="2">
        <f t="shared" ref="D164:D174" si="11">(B164/$L$3)-0.01521982</f>
        <v>1.2086486306306309E-2</v>
      </c>
      <c r="E164" s="2">
        <f t="shared" si="10"/>
        <v>10.321833166666666</v>
      </c>
    </row>
    <row r="165" spans="1:5" x14ac:dyDescent="0.55000000000000004">
      <c r="A165" s="1">
        <v>36.5</v>
      </c>
      <c r="B165" s="1">
        <v>3.0394000000000001</v>
      </c>
      <c r="C165" s="1">
        <v>619.30998999999997</v>
      </c>
      <c r="D165" s="2">
        <f t="shared" si="11"/>
        <v>1.2162161981981981E-2</v>
      </c>
      <c r="E165" s="2">
        <f t="shared" si="10"/>
        <v>10.321833166666666</v>
      </c>
    </row>
    <row r="166" spans="1:5" x14ac:dyDescent="0.55000000000000004">
      <c r="A166" s="1">
        <v>36.6</v>
      </c>
      <c r="B166" s="1">
        <v>3.0476999999999999</v>
      </c>
      <c r="C166" s="1">
        <v>619.30998999999997</v>
      </c>
      <c r="D166" s="2">
        <f t="shared" si="11"/>
        <v>1.2236936756756757E-2</v>
      </c>
      <c r="E166" s="2">
        <f t="shared" si="10"/>
        <v>10.321833166666666</v>
      </c>
    </row>
    <row r="167" spans="1:5" x14ac:dyDescent="0.55000000000000004">
      <c r="A167" s="1">
        <v>36.700000000000003</v>
      </c>
      <c r="B167" s="1">
        <v>3.056</v>
      </c>
      <c r="C167" s="1">
        <v>619.30998999999997</v>
      </c>
      <c r="D167" s="2">
        <f t="shared" si="11"/>
        <v>1.2311711531531532E-2</v>
      </c>
      <c r="E167" s="2">
        <f t="shared" si="10"/>
        <v>10.321833166666666</v>
      </c>
    </row>
    <row r="168" spans="1:5" x14ac:dyDescent="0.55000000000000004">
      <c r="A168" s="1">
        <v>36.799999999999997</v>
      </c>
      <c r="B168" s="1">
        <v>3.0644</v>
      </c>
      <c r="C168" s="1">
        <v>619.30998999999997</v>
      </c>
      <c r="D168" s="2">
        <f t="shared" si="11"/>
        <v>1.2387387207207208E-2</v>
      </c>
      <c r="E168" s="2">
        <f t="shared" si="10"/>
        <v>10.321833166666666</v>
      </c>
    </row>
    <row r="169" spans="1:5" x14ac:dyDescent="0.55000000000000004">
      <c r="A169" s="1">
        <v>36.9</v>
      </c>
      <c r="B169" s="1">
        <v>3.0727000000000002</v>
      </c>
      <c r="C169" s="1">
        <v>617.70000000000005</v>
      </c>
      <c r="D169" s="2">
        <f t="shared" si="11"/>
        <v>1.2462161981981983E-2</v>
      </c>
      <c r="E169" s="2">
        <f t="shared" si="10"/>
        <v>10.295</v>
      </c>
    </row>
    <row r="170" spans="1:5" x14ac:dyDescent="0.55000000000000004">
      <c r="A170" s="1">
        <v>37</v>
      </c>
      <c r="B170" s="1">
        <v>3.081</v>
      </c>
      <c r="C170" s="1">
        <v>616.09</v>
      </c>
      <c r="D170" s="2">
        <f t="shared" si="11"/>
        <v>1.2536936756756755E-2</v>
      </c>
      <c r="E170" s="2">
        <f t="shared" si="10"/>
        <v>10.268166666666668</v>
      </c>
    </row>
    <row r="171" spans="1:5" x14ac:dyDescent="0.55000000000000004">
      <c r="A171" s="1">
        <v>37.1</v>
      </c>
      <c r="B171" s="1">
        <v>3.0893999999999999</v>
      </c>
      <c r="C171" s="1">
        <v>614.48</v>
      </c>
      <c r="D171" s="2">
        <f t="shared" si="11"/>
        <v>1.2612612432432431E-2</v>
      </c>
      <c r="E171" s="2">
        <f t="shared" si="10"/>
        <v>10.241333333333333</v>
      </c>
    </row>
    <row r="172" spans="1:5" x14ac:dyDescent="0.55000000000000004">
      <c r="A172" s="1">
        <v>37.200000000000003</v>
      </c>
      <c r="B172" s="1">
        <v>3.0977000000000001</v>
      </c>
      <c r="C172" s="1">
        <v>611.26000999999997</v>
      </c>
      <c r="D172" s="2">
        <f t="shared" si="11"/>
        <v>1.2687387207207209E-2</v>
      </c>
      <c r="E172" s="2">
        <f t="shared" si="10"/>
        <v>10.187666833333333</v>
      </c>
    </row>
    <row r="173" spans="1:5" x14ac:dyDescent="0.55000000000000004">
      <c r="A173" s="1">
        <v>37.299999999999997</v>
      </c>
      <c r="B173" s="1">
        <v>3.1059999999999999</v>
      </c>
      <c r="C173" s="1">
        <v>606.43002000000001</v>
      </c>
      <c r="D173" s="2">
        <f t="shared" si="11"/>
        <v>1.2762161981981981E-2</v>
      </c>
      <c r="E173" s="2">
        <f t="shared" si="10"/>
        <v>10.107167</v>
      </c>
    </row>
    <row r="174" spans="1:5" x14ac:dyDescent="0.55000000000000004">
      <c r="A174" s="1">
        <v>37.4</v>
      </c>
      <c r="B174" s="1">
        <v>3.1143000000000001</v>
      </c>
      <c r="C174" s="1">
        <v>595.14999</v>
      </c>
      <c r="D174" s="2">
        <f t="shared" si="11"/>
        <v>1.2836936756756756E-2</v>
      </c>
      <c r="E174" s="2">
        <f t="shared" si="10"/>
        <v>9.9191664999999993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1287C7-8796-416D-B3CB-FFD01805CA84}">
  <dimension ref="A1:M158"/>
  <sheetViews>
    <sheetView zoomScaleNormal="100" workbookViewId="0">
      <selection activeCell="G26" sqref="G26"/>
    </sheetView>
  </sheetViews>
  <sheetFormatPr defaultRowHeight="14.4" x14ac:dyDescent="0.55000000000000004"/>
  <cols>
    <col min="1" max="3" width="8.83984375" style="3"/>
    <col min="4" max="4" width="11.15625" style="3" customWidth="1"/>
    <col min="5" max="5" width="6.89453125" style="3" customWidth="1"/>
  </cols>
  <sheetData>
    <row r="1" spans="1:13" x14ac:dyDescent="0.55000000000000004">
      <c r="A1" s="3" t="s">
        <v>0</v>
      </c>
      <c r="B1" s="3" t="s">
        <v>1</v>
      </c>
      <c r="C1" s="3" t="s">
        <v>2</v>
      </c>
      <c r="D1" s="4" t="s">
        <v>3</v>
      </c>
      <c r="E1" s="4" t="s">
        <v>17</v>
      </c>
    </row>
    <row r="2" spans="1:13" x14ac:dyDescent="0.55000000000000004">
      <c r="A2" s="3" t="s">
        <v>4</v>
      </c>
      <c r="B2" s="3" t="s">
        <v>5</v>
      </c>
      <c r="C2" s="3" t="s">
        <v>6</v>
      </c>
      <c r="D2" s="4" t="s">
        <v>7</v>
      </c>
      <c r="E2" s="4" t="s">
        <v>8</v>
      </c>
    </row>
    <row r="3" spans="1:13" x14ac:dyDescent="0.55000000000000004">
      <c r="A3" s="3">
        <v>21.2</v>
      </c>
      <c r="B3" s="3">
        <v>1.7645</v>
      </c>
      <c r="C3" s="3">
        <v>16.100000000000001</v>
      </c>
      <c r="D3" s="4">
        <f t="shared" ref="D3:D34" si="0">(B3/$L$3)-0.0158963963963964</f>
        <v>0</v>
      </c>
      <c r="E3" s="4">
        <f t="shared" ref="E3:E34" si="1">C3/$L$4</f>
        <v>0.26833333333333337</v>
      </c>
      <c r="K3" t="s">
        <v>15</v>
      </c>
      <c r="L3">
        <v>111</v>
      </c>
      <c r="M3" t="s">
        <v>9</v>
      </c>
    </row>
    <row r="4" spans="1:13" x14ac:dyDescent="0.55000000000000004">
      <c r="A4" s="3">
        <v>21.3</v>
      </c>
      <c r="B4" s="3">
        <v>1.7728999999999999</v>
      </c>
      <c r="C4" s="3">
        <v>19.32</v>
      </c>
      <c r="D4" s="4">
        <f t="shared" si="0"/>
        <v>7.5675675675672405E-5</v>
      </c>
      <c r="E4" s="4">
        <f t="shared" si="1"/>
        <v>0.32200000000000001</v>
      </c>
      <c r="K4" t="s">
        <v>14</v>
      </c>
      <c r="L4">
        <f>10*6</f>
        <v>60</v>
      </c>
      <c r="M4" t="s">
        <v>13</v>
      </c>
    </row>
    <row r="5" spans="1:13" x14ac:dyDescent="0.55000000000000004">
      <c r="A5" s="3">
        <v>21.4</v>
      </c>
      <c r="B5" s="3">
        <v>1.7813000000000001</v>
      </c>
      <c r="C5" s="3">
        <v>24.16</v>
      </c>
      <c r="D5" s="4">
        <f t="shared" si="0"/>
        <v>1.5135135135135175E-4</v>
      </c>
      <c r="E5" s="4">
        <f t="shared" si="1"/>
        <v>0.40266666666666667</v>
      </c>
    </row>
    <row r="6" spans="1:13" x14ac:dyDescent="0.55000000000000004">
      <c r="A6" s="3">
        <v>21.5</v>
      </c>
      <c r="B6" s="3">
        <v>1.7896000000000001</v>
      </c>
      <c r="C6" s="3">
        <v>28.99</v>
      </c>
      <c r="D6" s="4">
        <f t="shared" si="0"/>
        <v>2.2612612612612354E-4</v>
      </c>
      <c r="E6" s="4">
        <f t="shared" si="1"/>
        <v>0.48316666666666663</v>
      </c>
    </row>
    <row r="7" spans="1:13" x14ac:dyDescent="0.55000000000000004">
      <c r="A7" s="3">
        <v>21.6</v>
      </c>
      <c r="B7" s="3">
        <v>1.7979000000000001</v>
      </c>
      <c r="C7" s="3">
        <v>33.82</v>
      </c>
      <c r="D7" s="4">
        <f t="shared" si="0"/>
        <v>3.009009009008988E-4</v>
      </c>
      <c r="E7" s="4">
        <f t="shared" si="1"/>
        <v>0.56366666666666665</v>
      </c>
    </row>
    <row r="8" spans="1:13" x14ac:dyDescent="0.55000000000000004">
      <c r="A8" s="3">
        <v>21.7</v>
      </c>
      <c r="B8" s="3">
        <v>1.8062</v>
      </c>
      <c r="C8" s="3">
        <v>39.46</v>
      </c>
      <c r="D8" s="4">
        <f t="shared" si="0"/>
        <v>3.7567567567567406E-4</v>
      </c>
      <c r="E8" s="4">
        <f t="shared" si="1"/>
        <v>0.65766666666666673</v>
      </c>
    </row>
    <row r="9" spans="1:13" x14ac:dyDescent="0.55000000000000004">
      <c r="A9" s="3">
        <v>21.8</v>
      </c>
      <c r="B9" s="3">
        <v>1.8146</v>
      </c>
      <c r="C9" s="3">
        <v>44.29</v>
      </c>
      <c r="D9" s="4">
        <f t="shared" si="0"/>
        <v>4.5135135135134993E-4</v>
      </c>
      <c r="E9" s="4">
        <f t="shared" si="1"/>
        <v>0.73816666666666664</v>
      </c>
    </row>
    <row r="10" spans="1:13" x14ac:dyDescent="0.55000000000000004">
      <c r="A10" s="3">
        <v>21.9</v>
      </c>
      <c r="B10" s="3">
        <v>1.8229</v>
      </c>
      <c r="C10" s="3">
        <v>49.93</v>
      </c>
      <c r="D10" s="4">
        <f t="shared" si="0"/>
        <v>5.2612612612612519E-4</v>
      </c>
      <c r="E10" s="4">
        <f t="shared" si="1"/>
        <v>0.83216666666666661</v>
      </c>
    </row>
    <row r="11" spans="1:13" x14ac:dyDescent="0.55000000000000004">
      <c r="A11" s="3">
        <v>22</v>
      </c>
      <c r="B11" s="3">
        <v>1.8311999999999999</v>
      </c>
      <c r="C11" s="3">
        <v>55.56</v>
      </c>
      <c r="D11" s="4">
        <f t="shared" si="0"/>
        <v>6.0090090090089698E-4</v>
      </c>
      <c r="E11" s="4">
        <f t="shared" si="1"/>
        <v>0.92600000000000005</v>
      </c>
    </row>
    <row r="12" spans="1:13" x14ac:dyDescent="0.55000000000000004">
      <c r="A12" s="3">
        <v>22.1</v>
      </c>
      <c r="B12" s="3">
        <v>1.8394999999999999</v>
      </c>
      <c r="C12" s="3">
        <v>60.4</v>
      </c>
      <c r="D12" s="4">
        <f t="shared" si="0"/>
        <v>6.7567567567567224E-4</v>
      </c>
      <c r="E12" s="4">
        <f t="shared" si="1"/>
        <v>1.0066666666666666</v>
      </c>
    </row>
    <row r="13" spans="1:13" x14ac:dyDescent="0.55000000000000004">
      <c r="A13" s="3">
        <v>22.2</v>
      </c>
      <c r="B13" s="3">
        <v>1.8479000000000001</v>
      </c>
      <c r="C13" s="3">
        <v>65.23</v>
      </c>
      <c r="D13" s="4">
        <f t="shared" si="0"/>
        <v>7.5135135135135159E-4</v>
      </c>
      <c r="E13" s="4">
        <f t="shared" si="1"/>
        <v>1.0871666666666668</v>
      </c>
    </row>
    <row r="14" spans="1:13" x14ac:dyDescent="0.55000000000000004">
      <c r="A14" s="3">
        <v>22.3</v>
      </c>
      <c r="B14" s="3">
        <v>1.8563000000000001</v>
      </c>
      <c r="C14" s="3">
        <v>70.87</v>
      </c>
      <c r="D14" s="4">
        <f t="shared" si="0"/>
        <v>8.2702702702702399E-4</v>
      </c>
      <c r="E14" s="4">
        <f t="shared" si="1"/>
        <v>1.1811666666666667</v>
      </c>
    </row>
    <row r="15" spans="1:13" x14ac:dyDescent="0.55000000000000004">
      <c r="A15" s="3">
        <v>22.4</v>
      </c>
      <c r="B15" s="3">
        <v>1.8646</v>
      </c>
      <c r="C15" s="3">
        <v>76.5</v>
      </c>
      <c r="D15" s="4">
        <f t="shared" si="0"/>
        <v>9.0180180180179925E-4</v>
      </c>
      <c r="E15" s="4">
        <f t="shared" si="1"/>
        <v>1.2749999999999999</v>
      </c>
    </row>
    <row r="16" spans="1:13" x14ac:dyDescent="0.55000000000000004">
      <c r="A16" s="3">
        <v>22.5</v>
      </c>
      <c r="B16" s="3">
        <v>1.8729</v>
      </c>
      <c r="C16" s="3">
        <v>81.34</v>
      </c>
      <c r="D16" s="4">
        <f t="shared" si="0"/>
        <v>9.7657657657657451E-4</v>
      </c>
      <c r="E16" s="4">
        <f t="shared" si="1"/>
        <v>1.3556666666666668</v>
      </c>
    </row>
    <row r="17" spans="1:13" x14ac:dyDescent="0.55000000000000004">
      <c r="A17" s="3">
        <v>22.6</v>
      </c>
      <c r="B17" s="3">
        <v>1.8812</v>
      </c>
      <c r="C17" s="3">
        <v>86.97</v>
      </c>
      <c r="D17" s="4">
        <f t="shared" si="0"/>
        <v>1.0513513513513498E-3</v>
      </c>
      <c r="E17" s="4">
        <f t="shared" si="1"/>
        <v>1.4495</v>
      </c>
    </row>
    <row r="18" spans="1:13" x14ac:dyDescent="0.55000000000000004">
      <c r="A18" s="3">
        <v>22.7</v>
      </c>
      <c r="B18" s="3">
        <v>1.8895999999999999</v>
      </c>
      <c r="C18" s="3">
        <v>91.81</v>
      </c>
      <c r="D18" s="4">
        <f t="shared" si="0"/>
        <v>1.1270270270270256E-3</v>
      </c>
      <c r="E18" s="4">
        <f t="shared" si="1"/>
        <v>1.5301666666666667</v>
      </c>
    </row>
    <row r="19" spans="1:13" x14ac:dyDescent="0.55000000000000004">
      <c r="A19" s="3">
        <v>22.8</v>
      </c>
      <c r="B19" s="3">
        <v>1.8978999999999999</v>
      </c>
      <c r="C19" s="3">
        <v>97.44</v>
      </c>
      <c r="D19" s="4">
        <f t="shared" si="0"/>
        <v>1.2018018018017974E-3</v>
      </c>
      <c r="E19" s="4">
        <f t="shared" si="1"/>
        <v>1.6239999999999999</v>
      </c>
    </row>
    <row r="20" spans="1:13" x14ac:dyDescent="0.55000000000000004">
      <c r="A20" s="3">
        <v>22.9</v>
      </c>
      <c r="B20" s="3">
        <v>1.9061999999999999</v>
      </c>
      <c r="C20" s="3">
        <v>102.27</v>
      </c>
      <c r="D20" s="4">
        <f t="shared" si="0"/>
        <v>1.2765765765765727E-3</v>
      </c>
      <c r="E20" s="4">
        <f t="shared" si="1"/>
        <v>1.7044999999999999</v>
      </c>
    </row>
    <row r="21" spans="1:13" x14ac:dyDescent="0.55000000000000004">
      <c r="A21" s="3">
        <v>23</v>
      </c>
      <c r="B21" s="3">
        <v>1.9145000000000001</v>
      </c>
      <c r="C21" s="3">
        <v>107.11</v>
      </c>
      <c r="D21" s="4">
        <f t="shared" si="0"/>
        <v>1.3513513513513514E-3</v>
      </c>
      <c r="E21" s="4">
        <f t="shared" si="1"/>
        <v>1.7851666666666666</v>
      </c>
    </row>
    <row r="22" spans="1:13" x14ac:dyDescent="0.55000000000000004">
      <c r="A22" s="3">
        <v>23.1</v>
      </c>
      <c r="B22" s="3">
        <v>1.9229000000000001</v>
      </c>
      <c r="C22" s="3">
        <v>113.55</v>
      </c>
      <c r="D22" s="4">
        <f t="shared" si="0"/>
        <v>1.4270270270270238E-3</v>
      </c>
      <c r="E22" s="4">
        <f t="shared" si="1"/>
        <v>1.8924999999999998</v>
      </c>
    </row>
    <row r="23" spans="1:13" x14ac:dyDescent="0.55000000000000004">
      <c r="A23" s="3">
        <v>23.2</v>
      </c>
      <c r="B23" s="3">
        <v>1.9313</v>
      </c>
      <c r="C23" s="3">
        <v>118.37999000000001</v>
      </c>
      <c r="D23" s="4">
        <f t="shared" si="0"/>
        <v>1.5027027027026997E-3</v>
      </c>
      <c r="E23" s="4">
        <f t="shared" si="1"/>
        <v>1.9729998333333334</v>
      </c>
    </row>
    <row r="24" spans="1:13" x14ac:dyDescent="0.55000000000000004">
      <c r="A24" s="3">
        <v>23.3</v>
      </c>
      <c r="B24" s="3">
        <v>1.9396</v>
      </c>
      <c r="C24" s="3">
        <v>123.21</v>
      </c>
      <c r="D24" s="4">
        <f t="shared" si="0"/>
        <v>1.577477477477475E-3</v>
      </c>
      <c r="E24" s="4">
        <f t="shared" si="1"/>
        <v>2.0535000000000001</v>
      </c>
    </row>
    <row r="25" spans="1:13" x14ac:dyDescent="0.55000000000000004">
      <c r="A25" s="3">
        <v>23.4</v>
      </c>
      <c r="B25" s="3">
        <v>1.9479</v>
      </c>
      <c r="C25" s="3">
        <v>128.85</v>
      </c>
      <c r="D25" s="4">
        <f t="shared" si="0"/>
        <v>1.6522522522522502E-3</v>
      </c>
      <c r="E25" s="4">
        <f t="shared" si="1"/>
        <v>2.1475</v>
      </c>
    </row>
    <row r="26" spans="1:13" x14ac:dyDescent="0.55000000000000004">
      <c r="A26" s="3">
        <v>23.5</v>
      </c>
      <c r="B26" s="3">
        <v>1.9561999999999999</v>
      </c>
      <c r="C26" s="3">
        <v>134.49</v>
      </c>
      <c r="D26" s="4">
        <f t="shared" si="0"/>
        <v>1.7270270270270255E-3</v>
      </c>
      <c r="E26" s="4">
        <f t="shared" si="1"/>
        <v>2.2415000000000003</v>
      </c>
      <c r="J26" s="5" t="s">
        <v>12</v>
      </c>
      <c r="K26" s="5"/>
      <c r="L26" s="6">
        <f>MAX(E:E)</f>
        <v>9.9191664999999993</v>
      </c>
      <c r="M26" s="5" t="s">
        <v>11</v>
      </c>
    </row>
    <row r="27" spans="1:13" x14ac:dyDescent="0.55000000000000004">
      <c r="A27" s="3">
        <v>23.6</v>
      </c>
      <c r="B27" s="3">
        <v>1.9645999999999999</v>
      </c>
      <c r="C27" s="3">
        <v>139.32</v>
      </c>
      <c r="D27" s="4">
        <f t="shared" si="0"/>
        <v>1.8027027027027014E-3</v>
      </c>
      <c r="E27" s="4">
        <f t="shared" si="1"/>
        <v>2.3220000000000001</v>
      </c>
      <c r="J27" s="5" t="s">
        <v>10</v>
      </c>
      <c r="K27" s="5"/>
      <c r="L27" s="5">
        <v>1.0810810810810811E-2</v>
      </c>
      <c r="M27" s="5" t="s">
        <v>18</v>
      </c>
    </row>
    <row r="28" spans="1:13" x14ac:dyDescent="0.55000000000000004">
      <c r="A28" s="3">
        <v>23.7</v>
      </c>
      <c r="B28" s="3">
        <v>1.9729000000000001</v>
      </c>
      <c r="C28" s="3">
        <v>144.15</v>
      </c>
      <c r="D28" s="4">
        <f t="shared" si="0"/>
        <v>1.8774774774774766E-3</v>
      </c>
      <c r="E28" s="4">
        <f t="shared" si="1"/>
        <v>2.4025000000000003</v>
      </c>
    </row>
    <row r="29" spans="1:13" x14ac:dyDescent="0.55000000000000004">
      <c r="A29" s="3">
        <v>23.8</v>
      </c>
      <c r="B29" s="3">
        <v>1.9812000000000001</v>
      </c>
      <c r="C29" s="3">
        <v>149.79</v>
      </c>
      <c r="D29" s="4">
        <f t="shared" si="0"/>
        <v>1.9522522522522519E-3</v>
      </c>
      <c r="E29" s="4">
        <f t="shared" si="1"/>
        <v>2.4964999999999997</v>
      </c>
    </row>
    <row r="30" spans="1:13" x14ac:dyDescent="0.55000000000000004">
      <c r="A30" s="3">
        <v>23.9</v>
      </c>
      <c r="B30" s="3">
        <v>1.9895</v>
      </c>
      <c r="C30" s="3">
        <v>154.62</v>
      </c>
      <c r="D30" s="4">
        <f t="shared" si="0"/>
        <v>2.0270270270270237E-3</v>
      </c>
      <c r="E30" s="4">
        <f t="shared" si="1"/>
        <v>2.577</v>
      </c>
    </row>
    <row r="31" spans="1:13" x14ac:dyDescent="0.55000000000000004">
      <c r="A31" s="3">
        <v>24</v>
      </c>
      <c r="B31" s="3">
        <v>1.9979</v>
      </c>
      <c r="C31" s="3">
        <v>160.26</v>
      </c>
      <c r="D31" s="4">
        <f t="shared" si="0"/>
        <v>2.1027027027026995E-3</v>
      </c>
      <c r="E31" s="4">
        <f t="shared" si="1"/>
        <v>2.6709999999999998</v>
      </c>
    </row>
    <row r="32" spans="1:13" x14ac:dyDescent="0.55000000000000004">
      <c r="A32" s="3">
        <v>24.1</v>
      </c>
      <c r="B32" s="3">
        <v>2.0063</v>
      </c>
      <c r="C32" s="3">
        <v>165.09001000000001</v>
      </c>
      <c r="D32" s="4">
        <f t="shared" si="0"/>
        <v>2.1783783783783754E-3</v>
      </c>
      <c r="E32" s="4">
        <f t="shared" si="1"/>
        <v>2.7515001666666667</v>
      </c>
    </row>
    <row r="33" spans="1:5" x14ac:dyDescent="0.55000000000000004">
      <c r="A33" s="3">
        <v>24.2</v>
      </c>
      <c r="B33" s="3">
        <v>2.0146000000000002</v>
      </c>
      <c r="C33" s="3">
        <v>170.72998999999999</v>
      </c>
      <c r="D33" s="4">
        <f t="shared" si="0"/>
        <v>2.2531531531531541E-3</v>
      </c>
      <c r="E33" s="4">
        <f t="shared" si="1"/>
        <v>2.8454998333333332</v>
      </c>
    </row>
    <row r="34" spans="1:5" x14ac:dyDescent="0.55000000000000004">
      <c r="A34" s="3">
        <v>24.3</v>
      </c>
      <c r="B34" s="3">
        <v>2.0228999999999999</v>
      </c>
      <c r="C34" s="3">
        <v>175.56</v>
      </c>
      <c r="D34" s="4">
        <f t="shared" si="0"/>
        <v>2.3279279279279259E-3</v>
      </c>
      <c r="E34" s="4">
        <f t="shared" si="1"/>
        <v>2.9260000000000002</v>
      </c>
    </row>
    <row r="35" spans="1:5" x14ac:dyDescent="0.55000000000000004">
      <c r="A35" s="3">
        <v>24.4</v>
      </c>
      <c r="B35" s="3">
        <v>2.0312000000000001</v>
      </c>
      <c r="C35" s="3">
        <v>181.2</v>
      </c>
      <c r="D35" s="4">
        <f t="shared" ref="D35:D66" si="2">(B35/$L$3)-0.0158963963963964</f>
        <v>2.4027027027027012E-3</v>
      </c>
      <c r="E35" s="4">
        <f t="shared" ref="E35:E66" si="3">C35/$L$4</f>
        <v>3.02</v>
      </c>
    </row>
    <row r="36" spans="1:5" x14ac:dyDescent="0.55000000000000004">
      <c r="A36" s="3">
        <v>24.5</v>
      </c>
      <c r="B36" s="3">
        <v>2.0396000000000001</v>
      </c>
      <c r="C36" s="3">
        <v>186.03</v>
      </c>
      <c r="D36" s="4">
        <f t="shared" si="2"/>
        <v>2.4783783783783771E-3</v>
      </c>
      <c r="E36" s="4">
        <f t="shared" si="3"/>
        <v>3.1004999999999998</v>
      </c>
    </row>
    <row r="37" spans="1:5" x14ac:dyDescent="0.55000000000000004">
      <c r="A37" s="3">
        <v>24.6</v>
      </c>
      <c r="B37" s="3">
        <v>2.0478999999999998</v>
      </c>
      <c r="C37" s="3">
        <v>191.67</v>
      </c>
      <c r="D37" s="4">
        <f t="shared" si="2"/>
        <v>2.5531531531531489E-3</v>
      </c>
      <c r="E37" s="4">
        <f t="shared" si="3"/>
        <v>3.1944999999999997</v>
      </c>
    </row>
    <row r="38" spans="1:5" x14ac:dyDescent="0.55000000000000004">
      <c r="A38" s="3">
        <v>24.7</v>
      </c>
      <c r="B38" s="3">
        <v>2.0562</v>
      </c>
      <c r="C38" s="3">
        <v>196.5</v>
      </c>
      <c r="D38" s="4">
        <f t="shared" si="2"/>
        <v>2.6279279279279276E-3</v>
      </c>
      <c r="E38" s="4">
        <f t="shared" si="3"/>
        <v>3.2749999999999999</v>
      </c>
    </row>
    <row r="39" spans="1:5" x14ac:dyDescent="0.55000000000000004">
      <c r="A39" s="3">
        <v>24.8</v>
      </c>
      <c r="B39" s="3">
        <v>2.0644999999999998</v>
      </c>
      <c r="C39" s="3">
        <v>201.33</v>
      </c>
      <c r="D39" s="4">
        <f t="shared" si="2"/>
        <v>2.7027027027026994E-3</v>
      </c>
      <c r="E39" s="4">
        <f t="shared" si="3"/>
        <v>3.3555000000000001</v>
      </c>
    </row>
    <row r="40" spans="1:5" x14ac:dyDescent="0.55000000000000004">
      <c r="A40" s="3">
        <v>24.9</v>
      </c>
      <c r="B40" s="3">
        <v>2.0729000000000002</v>
      </c>
      <c r="C40" s="3">
        <v>206.97</v>
      </c>
      <c r="D40" s="4">
        <f t="shared" si="2"/>
        <v>2.7783783783783787E-3</v>
      </c>
      <c r="E40" s="4">
        <f t="shared" si="3"/>
        <v>3.4495</v>
      </c>
    </row>
    <row r="41" spans="1:5" x14ac:dyDescent="0.55000000000000004">
      <c r="A41" s="3">
        <v>25</v>
      </c>
      <c r="B41" s="3">
        <v>2.0813000000000001</v>
      </c>
      <c r="C41" s="3">
        <v>211.80000999999999</v>
      </c>
      <c r="D41" s="4">
        <f t="shared" si="2"/>
        <v>2.8540540540540546E-3</v>
      </c>
      <c r="E41" s="4">
        <f t="shared" si="3"/>
        <v>3.5300001666666665</v>
      </c>
    </row>
    <row r="42" spans="1:5" x14ac:dyDescent="0.55000000000000004">
      <c r="A42" s="3">
        <v>25.1</v>
      </c>
      <c r="B42" s="3">
        <v>2.0895999999999999</v>
      </c>
      <c r="C42" s="3">
        <v>216.62998999999999</v>
      </c>
      <c r="D42" s="4">
        <f t="shared" si="2"/>
        <v>2.9288288288288264E-3</v>
      </c>
      <c r="E42" s="4">
        <f t="shared" si="3"/>
        <v>3.6104998333333334</v>
      </c>
    </row>
    <row r="43" spans="1:5" x14ac:dyDescent="0.55000000000000004">
      <c r="A43" s="3">
        <v>25.2</v>
      </c>
      <c r="B43" s="3">
        <v>2.0979000000000001</v>
      </c>
      <c r="C43" s="3">
        <v>221.47</v>
      </c>
      <c r="D43" s="4">
        <f t="shared" si="2"/>
        <v>3.0036036036036017E-3</v>
      </c>
      <c r="E43" s="4">
        <f t="shared" si="3"/>
        <v>3.6911666666666667</v>
      </c>
    </row>
    <row r="44" spans="1:5" x14ac:dyDescent="0.55000000000000004">
      <c r="A44" s="3">
        <v>25.3</v>
      </c>
      <c r="B44" s="3">
        <v>2.1061999999999999</v>
      </c>
      <c r="C44" s="3">
        <v>227.1</v>
      </c>
      <c r="D44" s="4">
        <f t="shared" si="2"/>
        <v>3.0783783783783734E-3</v>
      </c>
      <c r="E44" s="4">
        <f t="shared" si="3"/>
        <v>3.7849999999999997</v>
      </c>
    </row>
    <row r="45" spans="1:5" x14ac:dyDescent="0.55000000000000004">
      <c r="A45" s="3">
        <v>25.4</v>
      </c>
      <c r="B45" s="3">
        <v>2.1145999999999998</v>
      </c>
      <c r="C45" s="3">
        <v>231.94</v>
      </c>
      <c r="D45" s="4">
        <f t="shared" si="2"/>
        <v>3.1540540540540493E-3</v>
      </c>
      <c r="E45" s="4">
        <f t="shared" si="3"/>
        <v>3.8656666666666668</v>
      </c>
    </row>
    <row r="46" spans="1:5" x14ac:dyDescent="0.55000000000000004">
      <c r="A46" s="3">
        <v>25.5</v>
      </c>
      <c r="B46" s="3">
        <v>2.1229</v>
      </c>
      <c r="C46" s="3">
        <v>236.76999000000001</v>
      </c>
      <c r="D46" s="4">
        <f t="shared" si="2"/>
        <v>3.228828828828828E-3</v>
      </c>
      <c r="E46" s="4">
        <f t="shared" si="3"/>
        <v>3.9461664999999999</v>
      </c>
    </row>
    <row r="47" spans="1:5" x14ac:dyDescent="0.55000000000000004">
      <c r="A47" s="3">
        <v>25.6</v>
      </c>
      <c r="B47" s="3">
        <v>2.1312000000000002</v>
      </c>
      <c r="C47" s="3">
        <v>241.6</v>
      </c>
      <c r="D47" s="4">
        <f t="shared" si="2"/>
        <v>3.3036036036036033E-3</v>
      </c>
      <c r="E47" s="4">
        <f t="shared" si="3"/>
        <v>4.0266666666666664</v>
      </c>
    </row>
    <row r="48" spans="1:5" x14ac:dyDescent="0.55000000000000004">
      <c r="A48" s="3">
        <v>25.7</v>
      </c>
      <c r="B48" s="3">
        <v>2.1395</v>
      </c>
      <c r="C48" s="3">
        <v>246.42999</v>
      </c>
      <c r="D48" s="4">
        <f t="shared" si="2"/>
        <v>3.3783783783783751E-3</v>
      </c>
      <c r="E48" s="4">
        <f t="shared" si="3"/>
        <v>4.1071664999999999</v>
      </c>
    </row>
    <row r="49" spans="1:5" x14ac:dyDescent="0.55000000000000004">
      <c r="A49" s="3">
        <v>25.8</v>
      </c>
      <c r="B49" s="3">
        <v>2.1478999999999999</v>
      </c>
      <c r="C49" s="3">
        <v>252.07001</v>
      </c>
      <c r="D49" s="4">
        <f t="shared" si="2"/>
        <v>3.454054054054051E-3</v>
      </c>
      <c r="E49" s="4">
        <f t="shared" si="3"/>
        <v>4.2011668333333336</v>
      </c>
    </row>
    <row r="50" spans="1:5" x14ac:dyDescent="0.55000000000000004">
      <c r="A50" s="3">
        <v>25.9</v>
      </c>
      <c r="B50" s="3">
        <v>2.1562000000000001</v>
      </c>
      <c r="C50" s="3">
        <v>256.89999999999998</v>
      </c>
      <c r="D50" s="4">
        <f t="shared" si="2"/>
        <v>3.5288288288288262E-3</v>
      </c>
      <c r="E50" s="4">
        <f t="shared" si="3"/>
        <v>4.2816666666666663</v>
      </c>
    </row>
    <row r="51" spans="1:5" x14ac:dyDescent="0.55000000000000004">
      <c r="A51" s="3">
        <v>26</v>
      </c>
      <c r="B51" s="3">
        <v>2.1646000000000001</v>
      </c>
      <c r="C51" s="3">
        <v>261.73000999999999</v>
      </c>
      <c r="D51" s="4">
        <f t="shared" si="2"/>
        <v>3.6045045045045021E-3</v>
      </c>
      <c r="E51" s="4">
        <f t="shared" si="3"/>
        <v>4.3621668333333332</v>
      </c>
    </row>
    <row r="52" spans="1:5" x14ac:dyDescent="0.55000000000000004">
      <c r="A52" s="3">
        <v>26.1</v>
      </c>
      <c r="B52" s="3">
        <v>2.1728999999999998</v>
      </c>
      <c r="C52" s="3">
        <v>266.57</v>
      </c>
      <c r="D52" s="4">
        <f t="shared" si="2"/>
        <v>3.6792792792792774E-3</v>
      </c>
      <c r="E52" s="4">
        <f t="shared" si="3"/>
        <v>4.4428333333333336</v>
      </c>
    </row>
    <row r="53" spans="1:5" x14ac:dyDescent="0.55000000000000004">
      <c r="A53" s="3">
        <v>26.2</v>
      </c>
      <c r="B53" s="3">
        <v>2.1812</v>
      </c>
      <c r="C53" s="3">
        <v>271.39999</v>
      </c>
      <c r="D53" s="4">
        <f t="shared" si="2"/>
        <v>3.7540540540540526E-3</v>
      </c>
      <c r="E53" s="4">
        <f t="shared" si="3"/>
        <v>4.5233331666666663</v>
      </c>
    </row>
    <row r="54" spans="1:5" x14ac:dyDescent="0.55000000000000004">
      <c r="A54" s="3">
        <v>26.3</v>
      </c>
      <c r="B54" s="3">
        <v>2.1896</v>
      </c>
      <c r="C54" s="3">
        <v>277.04000000000002</v>
      </c>
      <c r="D54" s="4">
        <f t="shared" si="2"/>
        <v>3.8297297297297285E-3</v>
      </c>
      <c r="E54" s="4">
        <f t="shared" si="3"/>
        <v>4.6173333333333337</v>
      </c>
    </row>
    <row r="55" spans="1:5" x14ac:dyDescent="0.55000000000000004">
      <c r="A55" s="3">
        <v>26.4</v>
      </c>
      <c r="B55" s="3">
        <v>2.1979000000000002</v>
      </c>
      <c r="C55" s="3">
        <v>281.05999000000003</v>
      </c>
      <c r="D55" s="4">
        <f t="shared" si="2"/>
        <v>3.9045045045045038E-3</v>
      </c>
      <c r="E55" s="4">
        <f t="shared" si="3"/>
        <v>4.6843331666666668</v>
      </c>
    </row>
    <row r="56" spans="1:5" x14ac:dyDescent="0.55000000000000004">
      <c r="A56" s="3">
        <v>26.5</v>
      </c>
      <c r="B56" s="3">
        <v>2.2061999999999999</v>
      </c>
      <c r="C56" s="3">
        <v>285.89001000000002</v>
      </c>
      <c r="D56" s="4">
        <f t="shared" si="2"/>
        <v>3.9792792792792755E-3</v>
      </c>
      <c r="E56" s="4">
        <f t="shared" si="3"/>
        <v>4.7648334999999999</v>
      </c>
    </row>
    <row r="57" spans="1:5" x14ac:dyDescent="0.55000000000000004">
      <c r="A57" s="3">
        <v>26.6</v>
      </c>
      <c r="B57" s="3">
        <v>2.2145000000000001</v>
      </c>
      <c r="C57" s="3">
        <v>290.73</v>
      </c>
      <c r="D57" s="4">
        <f t="shared" si="2"/>
        <v>4.0540540540540543E-3</v>
      </c>
      <c r="E57" s="4">
        <f t="shared" si="3"/>
        <v>4.8455000000000004</v>
      </c>
    </row>
    <row r="58" spans="1:5" x14ac:dyDescent="0.55000000000000004">
      <c r="A58" s="3">
        <v>26.7</v>
      </c>
      <c r="B58" s="3">
        <v>2.2229000000000001</v>
      </c>
      <c r="C58" s="3">
        <v>296.36000999999999</v>
      </c>
      <c r="D58" s="4">
        <f t="shared" si="2"/>
        <v>4.1297297297297302E-3</v>
      </c>
      <c r="E58" s="4">
        <f t="shared" si="3"/>
        <v>4.9393335</v>
      </c>
    </row>
    <row r="59" spans="1:5" x14ac:dyDescent="0.55000000000000004">
      <c r="A59" s="3">
        <v>26.8</v>
      </c>
      <c r="B59" s="3">
        <v>2.2311999999999999</v>
      </c>
      <c r="C59" s="3">
        <v>300.39</v>
      </c>
      <c r="D59" s="4">
        <f t="shared" si="2"/>
        <v>4.2045045045045019E-3</v>
      </c>
      <c r="E59" s="4">
        <f t="shared" si="3"/>
        <v>5.0065</v>
      </c>
    </row>
    <row r="60" spans="1:5" x14ac:dyDescent="0.55000000000000004">
      <c r="A60" s="3">
        <v>26.9</v>
      </c>
      <c r="B60" s="3">
        <v>2.2395999999999998</v>
      </c>
      <c r="C60" s="3">
        <v>306.02999</v>
      </c>
      <c r="D60" s="4">
        <f t="shared" si="2"/>
        <v>4.2801801801801778E-3</v>
      </c>
      <c r="E60" s="4">
        <f t="shared" si="3"/>
        <v>5.1004998333333331</v>
      </c>
    </row>
    <row r="61" spans="1:5" x14ac:dyDescent="0.55000000000000004">
      <c r="A61" s="3">
        <v>27</v>
      </c>
      <c r="B61" s="3">
        <v>2.2479</v>
      </c>
      <c r="C61" s="3">
        <v>310.06000999999998</v>
      </c>
      <c r="D61" s="4">
        <f t="shared" si="2"/>
        <v>4.3549549549549531E-3</v>
      </c>
      <c r="E61" s="4">
        <f t="shared" si="3"/>
        <v>5.1676668333333327</v>
      </c>
    </row>
    <row r="62" spans="1:5" x14ac:dyDescent="0.55000000000000004">
      <c r="A62" s="3">
        <v>27.1</v>
      </c>
      <c r="B62" s="3">
        <v>2.2562000000000002</v>
      </c>
      <c r="C62" s="3">
        <v>314.89</v>
      </c>
      <c r="D62" s="4">
        <f t="shared" si="2"/>
        <v>4.4297297297297283E-3</v>
      </c>
      <c r="E62" s="4">
        <f t="shared" si="3"/>
        <v>5.2481666666666662</v>
      </c>
    </row>
    <row r="63" spans="1:5" x14ac:dyDescent="0.55000000000000004">
      <c r="A63" s="3">
        <v>27.2</v>
      </c>
      <c r="B63" s="3">
        <v>2.2646000000000002</v>
      </c>
      <c r="C63" s="3">
        <v>319.72001</v>
      </c>
      <c r="D63" s="4">
        <f t="shared" si="2"/>
        <v>4.5054054054054042E-3</v>
      </c>
      <c r="E63" s="4">
        <f t="shared" si="3"/>
        <v>5.3286668333333331</v>
      </c>
    </row>
    <row r="64" spans="1:5" x14ac:dyDescent="0.55000000000000004">
      <c r="A64" s="3">
        <v>27.3</v>
      </c>
      <c r="B64" s="3">
        <v>2.2728999999999999</v>
      </c>
      <c r="C64" s="3">
        <v>324.55</v>
      </c>
      <c r="D64" s="4">
        <f t="shared" si="2"/>
        <v>4.580180180180176E-3</v>
      </c>
      <c r="E64" s="4">
        <f t="shared" si="3"/>
        <v>5.4091666666666667</v>
      </c>
    </row>
    <row r="65" spans="1:5" x14ac:dyDescent="0.55000000000000004">
      <c r="A65" s="3">
        <v>27.4</v>
      </c>
      <c r="B65" s="3">
        <v>2.2812000000000001</v>
      </c>
      <c r="C65" s="3">
        <v>329.37999000000002</v>
      </c>
      <c r="D65" s="4">
        <f t="shared" si="2"/>
        <v>4.6549549549549547E-3</v>
      </c>
      <c r="E65" s="4">
        <f t="shared" si="3"/>
        <v>5.4896665000000002</v>
      </c>
    </row>
    <row r="66" spans="1:5" x14ac:dyDescent="0.55000000000000004">
      <c r="A66" s="3">
        <v>27.5</v>
      </c>
      <c r="B66" s="3">
        <v>2.2894999999999999</v>
      </c>
      <c r="C66" s="3">
        <v>334.22001</v>
      </c>
      <c r="D66" s="4">
        <f t="shared" si="2"/>
        <v>4.7297297297297265E-3</v>
      </c>
      <c r="E66" s="4">
        <f t="shared" si="3"/>
        <v>5.5703335000000003</v>
      </c>
    </row>
    <row r="67" spans="1:5" x14ac:dyDescent="0.55000000000000004">
      <c r="A67" s="3">
        <v>27.6</v>
      </c>
      <c r="B67" s="3">
        <v>2.2978999999999998</v>
      </c>
      <c r="C67" s="3">
        <v>338.24</v>
      </c>
      <c r="D67" s="4">
        <f t="shared" ref="D67:D98" si="4">(B67/$L$3)-0.0158963963963964</f>
        <v>4.8054054054054024E-3</v>
      </c>
      <c r="E67" s="4">
        <f t="shared" ref="E67:E98" si="5">C67/$L$4</f>
        <v>5.6373333333333333</v>
      </c>
    </row>
    <row r="68" spans="1:5" x14ac:dyDescent="0.55000000000000004">
      <c r="A68" s="3">
        <v>27.7</v>
      </c>
      <c r="B68" s="3">
        <v>2.3062</v>
      </c>
      <c r="C68" s="3">
        <v>343.07001000000002</v>
      </c>
      <c r="D68" s="4">
        <f t="shared" si="4"/>
        <v>4.8801801801801777E-3</v>
      </c>
      <c r="E68" s="4">
        <f t="shared" si="5"/>
        <v>5.7178335000000002</v>
      </c>
    </row>
    <row r="69" spans="1:5" x14ac:dyDescent="0.55000000000000004">
      <c r="A69" s="3">
        <v>27.8</v>
      </c>
      <c r="B69" s="3">
        <v>2.3144999999999998</v>
      </c>
      <c r="C69" s="3">
        <v>347.91</v>
      </c>
      <c r="D69" s="4">
        <f t="shared" si="4"/>
        <v>4.9549549549549494E-3</v>
      </c>
      <c r="E69" s="4">
        <f t="shared" si="5"/>
        <v>5.7985000000000007</v>
      </c>
    </row>
    <row r="70" spans="1:5" x14ac:dyDescent="0.55000000000000004">
      <c r="A70" s="3">
        <v>27.9</v>
      </c>
      <c r="B70" s="3">
        <v>2.3229000000000002</v>
      </c>
      <c r="C70" s="3">
        <v>351.92998999999998</v>
      </c>
      <c r="D70" s="4">
        <f t="shared" si="4"/>
        <v>5.0306306306306288E-3</v>
      </c>
      <c r="E70" s="4">
        <f t="shared" si="5"/>
        <v>5.8654998333333328</v>
      </c>
    </row>
    <row r="71" spans="1:5" x14ac:dyDescent="0.55000000000000004">
      <c r="A71" s="3">
        <v>28</v>
      </c>
      <c r="B71" s="3">
        <v>2.3311999999999999</v>
      </c>
      <c r="C71" s="3">
        <v>356.77001000000001</v>
      </c>
      <c r="D71" s="4">
        <f t="shared" si="4"/>
        <v>5.1054054054054041E-3</v>
      </c>
      <c r="E71" s="4">
        <f t="shared" si="5"/>
        <v>5.9461668333333337</v>
      </c>
    </row>
    <row r="72" spans="1:5" x14ac:dyDescent="0.55000000000000004">
      <c r="A72" s="3">
        <v>28.1</v>
      </c>
      <c r="B72" s="3">
        <v>2.3395999999999999</v>
      </c>
      <c r="C72" s="3">
        <v>361.6</v>
      </c>
      <c r="D72" s="4">
        <f t="shared" si="4"/>
        <v>5.1810810810810765E-3</v>
      </c>
      <c r="E72" s="4">
        <f t="shared" si="5"/>
        <v>6.0266666666666673</v>
      </c>
    </row>
    <row r="73" spans="1:5" x14ac:dyDescent="0.55000000000000004">
      <c r="A73" s="3">
        <v>28.2</v>
      </c>
      <c r="B73" s="3">
        <v>2.3479000000000001</v>
      </c>
      <c r="C73" s="3">
        <v>365.62000999999998</v>
      </c>
      <c r="D73" s="4">
        <f t="shared" si="4"/>
        <v>5.2558558558558552E-3</v>
      </c>
      <c r="E73" s="4">
        <f t="shared" si="5"/>
        <v>6.0936668333333328</v>
      </c>
    </row>
    <row r="74" spans="1:5" x14ac:dyDescent="0.55000000000000004">
      <c r="A74" s="3">
        <v>28.3</v>
      </c>
      <c r="B74" s="3">
        <v>2.3561999999999999</v>
      </c>
      <c r="C74" s="3">
        <v>370.46</v>
      </c>
      <c r="D74" s="4">
        <f t="shared" si="4"/>
        <v>5.330630630630627E-3</v>
      </c>
      <c r="E74" s="4">
        <f t="shared" si="5"/>
        <v>6.1743333333333332</v>
      </c>
    </row>
    <row r="75" spans="1:5" x14ac:dyDescent="0.55000000000000004">
      <c r="A75" s="3">
        <v>28.4</v>
      </c>
      <c r="B75" s="3">
        <v>2.3645</v>
      </c>
      <c r="C75" s="3">
        <v>374.47998999999999</v>
      </c>
      <c r="D75" s="4">
        <f t="shared" si="4"/>
        <v>5.4054054054054022E-3</v>
      </c>
      <c r="E75" s="4">
        <f t="shared" si="5"/>
        <v>6.2413331666666663</v>
      </c>
    </row>
    <row r="76" spans="1:5" x14ac:dyDescent="0.55000000000000004">
      <c r="A76" s="3">
        <v>28.5</v>
      </c>
      <c r="B76" s="3">
        <v>2.3729</v>
      </c>
      <c r="C76" s="3">
        <v>379.32001000000002</v>
      </c>
      <c r="D76" s="4">
        <f t="shared" si="4"/>
        <v>5.4810810810810781E-3</v>
      </c>
      <c r="E76" s="4">
        <f t="shared" si="5"/>
        <v>6.3220001666666672</v>
      </c>
    </row>
    <row r="77" spans="1:5" x14ac:dyDescent="0.55000000000000004">
      <c r="A77" s="3">
        <v>28.6</v>
      </c>
      <c r="B77" s="3">
        <v>2.3812000000000002</v>
      </c>
      <c r="C77" s="3">
        <v>383.34</v>
      </c>
      <c r="D77" s="4">
        <f t="shared" si="4"/>
        <v>5.5558558558558568E-3</v>
      </c>
      <c r="E77" s="4">
        <f t="shared" si="5"/>
        <v>6.3889999999999993</v>
      </c>
    </row>
    <row r="78" spans="1:5" x14ac:dyDescent="0.55000000000000004">
      <c r="A78" s="3">
        <v>28.7</v>
      </c>
      <c r="B78" s="3">
        <v>2.3895</v>
      </c>
      <c r="C78" s="3">
        <v>388.16998999999998</v>
      </c>
      <c r="D78" s="4">
        <f t="shared" si="4"/>
        <v>5.6306306306306286E-3</v>
      </c>
      <c r="E78" s="4">
        <f t="shared" si="5"/>
        <v>6.4694998333333329</v>
      </c>
    </row>
    <row r="79" spans="1:5" x14ac:dyDescent="0.55000000000000004">
      <c r="A79" s="3">
        <v>28.8</v>
      </c>
      <c r="B79" s="3">
        <v>2.3978999999999999</v>
      </c>
      <c r="C79" s="3">
        <v>392.20001000000002</v>
      </c>
      <c r="D79" s="4">
        <f t="shared" si="4"/>
        <v>5.7063063063063045E-3</v>
      </c>
      <c r="E79" s="4">
        <f t="shared" si="5"/>
        <v>6.5366668333333333</v>
      </c>
    </row>
    <row r="80" spans="1:5" x14ac:dyDescent="0.55000000000000004">
      <c r="A80" s="3">
        <v>28.9</v>
      </c>
      <c r="B80" s="3">
        <v>2.4062000000000001</v>
      </c>
      <c r="C80" s="3">
        <v>397.02999</v>
      </c>
      <c r="D80" s="4">
        <f t="shared" si="4"/>
        <v>5.7810810810810798E-3</v>
      </c>
      <c r="E80" s="4">
        <f t="shared" si="5"/>
        <v>6.6171664999999997</v>
      </c>
    </row>
    <row r="81" spans="1:5" x14ac:dyDescent="0.55000000000000004">
      <c r="A81" s="3">
        <v>29</v>
      </c>
      <c r="B81" s="3">
        <v>2.4146000000000001</v>
      </c>
      <c r="C81" s="3">
        <v>401.06000999999998</v>
      </c>
      <c r="D81" s="4">
        <f t="shared" si="4"/>
        <v>5.8567567567567556E-3</v>
      </c>
      <c r="E81" s="4">
        <f t="shared" si="5"/>
        <v>6.6843334999999993</v>
      </c>
    </row>
    <row r="82" spans="1:5" x14ac:dyDescent="0.55000000000000004">
      <c r="A82" s="3">
        <v>29.1</v>
      </c>
      <c r="B82" s="3">
        <v>2.4228999999999998</v>
      </c>
      <c r="C82" s="3">
        <v>405.89</v>
      </c>
      <c r="D82" s="4">
        <f t="shared" si="4"/>
        <v>5.9315315315315274E-3</v>
      </c>
      <c r="E82" s="4">
        <f t="shared" si="5"/>
        <v>6.7648333333333328</v>
      </c>
    </row>
    <row r="83" spans="1:5" x14ac:dyDescent="0.55000000000000004">
      <c r="A83" s="3">
        <v>29.2</v>
      </c>
      <c r="B83" s="3">
        <v>2.4312</v>
      </c>
      <c r="C83" s="3">
        <v>409.91998999999998</v>
      </c>
      <c r="D83" s="4">
        <f t="shared" si="4"/>
        <v>6.0063063063063062E-3</v>
      </c>
      <c r="E83" s="4">
        <f t="shared" si="5"/>
        <v>6.8319998333333327</v>
      </c>
    </row>
    <row r="84" spans="1:5" x14ac:dyDescent="0.55000000000000004">
      <c r="A84" s="3">
        <v>29.3</v>
      </c>
      <c r="B84" s="3">
        <v>2.4394999999999998</v>
      </c>
      <c r="C84" s="3">
        <v>413.95001000000002</v>
      </c>
      <c r="D84" s="4">
        <f t="shared" si="4"/>
        <v>6.0810810810810779E-3</v>
      </c>
      <c r="E84" s="4">
        <f t="shared" si="5"/>
        <v>6.899166833333334</v>
      </c>
    </row>
    <row r="85" spans="1:5" x14ac:dyDescent="0.55000000000000004">
      <c r="A85" s="3">
        <v>29.4</v>
      </c>
      <c r="B85" s="3">
        <v>2.4479000000000002</v>
      </c>
      <c r="C85" s="3">
        <v>418.78</v>
      </c>
      <c r="D85" s="4">
        <f t="shared" si="4"/>
        <v>6.1567567567567573E-3</v>
      </c>
      <c r="E85" s="4">
        <f t="shared" si="5"/>
        <v>6.9796666666666658</v>
      </c>
    </row>
    <row r="86" spans="1:5" x14ac:dyDescent="0.55000000000000004">
      <c r="A86" s="3">
        <v>29.5</v>
      </c>
      <c r="B86" s="3">
        <v>2.4561999999999999</v>
      </c>
      <c r="C86" s="3">
        <v>422.79998999999998</v>
      </c>
      <c r="D86" s="4">
        <f t="shared" si="4"/>
        <v>6.2315315315315291E-3</v>
      </c>
      <c r="E86" s="4">
        <f t="shared" si="5"/>
        <v>7.0466664999999997</v>
      </c>
    </row>
    <row r="87" spans="1:5" x14ac:dyDescent="0.55000000000000004">
      <c r="A87" s="3">
        <v>29.6</v>
      </c>
      <c r="B87" s="3">
        <v>2.4645000000000001</v>
      </c>
      <c r="C87" s="3">
        <v>426.83001000000002</v>
      </c>
      <c r="D87" s="4">
        <f t="shared" si="4"/>
        <v>6.3063063063063043E-3</v>
      </c>
      <c r="E87" s="4">
        <f t="shared" si="5"/>
        <v>7.1138335000000001</v>
      </c>
    </row>
    <row r="88" spans="1:5" x14ac:dyDescent="0.55000000000000004">
      <c r="A88" s="3">
        <v>29.7</v>
      </c>
      <c r="B88" s="3">
        <v>2.4729000000000001</v>
      </c>
      <c r="C88" s="3">
        <v>430.86</v>
      </c>
      <c r="D88" s="4">
        <f t="shared" si="4"/>
        <v>6.3819819819819802E-3</v>
      </c>
      <c r="E88" s="4">
        <f t="shared" si="5"/>
        <v>7.181</v>
      </c>
    </row>
    <row r="89" spans="1:5" x14ac:dyDescent="0.55000000000000004">
      <c r="A89" s="3">
        <v>29.8</v>
      </c>
      <c r="B89" s="3">
        <v>2.4811999999999999</v>
      </c>
      <c r="C89" s="3">
        <v>434.88999000000001</v>
      </c>
      <c r="D89" s="4">
        <f t="shared" si="4"/>
        <v>6.456756756756752E-3</v>
      </c>
      <c r="E89" s="4">
        <f t="shared" si="5"/>
        <v>7.2481665</v>
      </c>
    </row>
    <row r="90" spans="1:5" x14ac:dyDescent="0.55000000000000004">
      <c r="A90" s="3">
        <v>29.9</v>
      </c>
      <c r="B90" s="3">
        <v>2.4895999999999998</v>
      </c>
      <c r="C90" s="3">
        <v>438.91001</v>
      </c>
      <c r="D90" s="4">
        <f t="shared" si="4"/>
        <v>6.5324324324324279E-3</v>
      </c>
      <c r="E90" s="4">
        <f t="shared" si="5"/>
        <v>7.3151668333333335</v>
      </c>
    </row>
    <row r="91" spans="1:5" x14ac:dyDescent="0.55000000000000004">
      <c r="A91" s="3">
        <v>30</v>
      </c>
      <c r="B91" s="3">
        <v>2.4979</v>
      </c>
      <c r="C91" s="3">
        <v>443.73998999999998</v>
      </c>
      <c r="D91" s="4">
        <f t="shared" si="4"/>
        <v>6.6072072072072066E-3</v>
      </c>
      <c r="E91" s="4">
        <f t="shared" si="5"/>
        <v>7.3956664999999999</v>
      </c>
    </row>
    <row r="92" spans="1:5" x14ac:dyDescent="0.55000000000000004">
      <c r="A92" s="3">
        <v>30.1</v>
      </c>
      <c r="B92" s="3">
        <v>2.5062000000000002</v>
      </c>
      <c r="C92" s="3">
        <v>446.96999</v>
      </c>
      <c r="D92" s="4">
        <f t="shared" si="4"/>
        <v>6.6819819819819819E-3</v>
      </c>
      <c r="E92" s="4">
        <f t="shared" si="5"/>
        <v>7.4494998333333333</v>
      </c>
    </row>
    <row r="93" spans="1:5" x14ac:dyDescent="0.55000000000000004">
      <c r="A93" s="3">
        <v>30.2</v>
      </c>
      <c r="B93" s="3">
        <v>2.5145</v>
      </c>
      <c r="C93" s="3">
        <v>451.8</v>
      </c>
      <c r="D93" s="4">
        <f t="shared" si="4"/>
        <v>6.7567567567567537E-3</v>
      </c>
      <c r="E93" s="4">
        <f t="shared" si="5"/>
        <v>7.53</v>
      </c>
    </row>
    <row r="94" spans="1:5" x14ac:dyDescent="0.55000000000000004">
      <c r="A94" s="3">
        <v>30.3</v>
      </c>
      <c r="B94" s="3">
        <v>2.5228999999999999</v>
      </c>
      <c r="C94" s="3">
        <v>455.81999000000002</v>
      </c>
      <c r="D94" s="4">
        <f t="shared" si="4"/>
        <v>6.8324324324324295E-3</v>
      </c>
      <c r="E94" s="4">
        <f t="shared" si="5"/>
        <v>7.5969998333333333</v>
      </c>
    </row>
    <row r="95" spans="1:5" x14ac:dyDescent="0.55000000000000004">
      <c r="A95" s="3">
        <v>30.4</v>
      </c>
      <c r="B95" s="3">
        <v>2.5312000000000001</v>
      </c>
      <c r="C95" s="3">
        <v>459.85001</v>
      </c>
      <c r="D95" s="4">
        <f t="shared" si="4"/>
        <v>6.9072072072072048E-3</v>
      </c>
      <c r="E95" s="4">
        <f t="shared" si="5"/>
        <v>7.6641668333333337</v>
      </c>
    </row>
    <row r="96" spans="1:5" x14ac:dyDescent="0.55000000000000004">
      <c r="A96" s="3">
        <v>30.5</v>
      </c>
      <c r="B96" s="3">
        <v>2.5394999999999999</v>
      </c>
      <c r="C96" s="3">
        <v>463.88</v>
      </c>
      <c r="D96" s="4">
        <f t="shared" si="4"/>
        <v>6.9819819819819801E-3</v>
      </c>
      <c r="E96" s="4">
        <f t="shared" si="5"/>
        <v>7.7313333333333336</v>
      </c>
    </row>
    <row r="97" spans="1:5" x14ac:dyDescent="0.55000000000000004">
      <c r="A97" s="3">
        <v>30.6</v>
      </c>
      <c r="B97" s="3">
        <v>2.5478999999999998</v>
      </c>
      <c r="C97" s="3">
        <v>467.89999</v>
      </c>
      <c r="D97" s="4">
        <f t="shared" si="4"/>
        <v>7.0576576576576525E-3</v>
      </c>
      <c r="E97" s="4">
        <f t="shared" si="5"/>
        <v>7.7983331666666666</v>
      </c>
    </row>
    <row r="98" spans="1:5" x14ac:dyDescent="0.55000000000000004">
      <c r="A98" s="3">
        <v>30.7</v>
      </c>
      <c r="B98" s="3">
        <v>2.5562</v>
      </c>
      <c r="C98" s="3">
        <v>471.13001000000003</v>
      </c>
      <c r="D98" s="4">
        <f t="shared" si="4"/>
        <v>7.1324324324324312E-3</v>
      </c>
      <c r="E98" s="4">
        <f t="shared" si="5"/>
        <v>7.8521668333333334</v>
      </c>
    </row>
    <row r="99" spans="1:5" x14ac:dyDescent="0.55000000000000004">
      <c r="A99" s="3">
        <v>30.8</v>
      </c>
      <c r="B99" s="3">
        <v>2.5646</v>
      </c>
      <c r="C99" s="3">
        <v>475.14997</v>
      </c>
      <c r="D99" s="4">
        <f t="shared" ref="D99:D130" si="6">(B99/$L$3)-0.0158963963963964</f>
        <v>7.2081081081081071E-3</v>
      </c>
      <c r="E99" s="4">
        <f t="shared" ref="E99:E130" si="7">C99/$L$4</f>
        <v>7.9191661666666668</v>
      </c>
    </row>
    <row r="100" spans="1:5" x14ac:dyDescent="0.55000000000000004">
      <c r="A100" s="3">
        <v>30.9</v>
      </c>
      <c r="B100" s="3">
        <v>2.5729000000000002</v>
      </c>
      <c r="C100" s="3">
        <v>479.17998999999998</v>
      </c>
      <c r="D100" s="4">
        <f t="shared" si="6"/>
        <v>7.2828828828828823E-3</v>
      </c>
      <c r="E100" s="4">
        <f t="shared" si="7"/>
        <v>7.9863331666666664</v>
      </c>
    </row>
    <row r="101" spans="1:5" x14ac:dyDescent="0.55000000000000004">
      <c r="A101" s="3">
        <v>31</v>
      </c>
      <c r="B101" s="3">
        <v>2.5811999999999999</v>
      </c>
      <c r="C101" s="3">
        <v>483.21001000000001</v>
      </c>
      <c r="D101" s="4">
        <f t="shared" si="6"/>
        <v>7.3576576576576541E-3</v>
      </c>
      <c r="E101" s="4">
        <f t="shared" si="7"/>
        <v>8.0535001666666677</v>
      </c>
    </row>
    <row r="102" spans="1:5" x14ac:dyDescent="0.55000000000000004">
      <c r="A102" s="3">
        <v>31.1</v>
      </c>
      <c r="B102" s="3">
        <v>2.5895000000000001</v>
      </c>
      <c r="C102" s="3">
        <v>486.43</v>
      </c>
      <c r="D102" s="4">
        <f t="shared" si="6"/>
        <v>7.4324324324324328E-3</v>
      </c>
      <c r="E102" s="4">
        <f t="shared" si="7"/>
        <v>8.1071666666666662</v>
      </c>
    </row>
    <row r="103" spans="1:5" x14ac:dyDescent="0.55000000000000004">
      <c r="A103" s="3">
        <v>31.2</v>
      </c>
      <c r="B103" s="3">
        <v>2.5979000000000001</v>
      </c>
      <c r="C103" s="3">
        <v>490.45001999999999</v>
      </c>
      <c r="D103" s="4">
        <f t="shared" si="6"/>
        <v>7.5081081081081052E-3</v>
      </c>
      <c r="E103" s="4">
        <f t="shared" si="7"/>
        <v>8.1741670000000006</v>
      </c>
    </row>
    <row r="104" spans="1:5" x14ac:dyDescent="0.55000000000000004">
      <c r="A104" s="3">
        <v>31.3</v>
      </c>
      <c r="B104" s="3">
        <v>2.6061999999999999</v>
      </c>
      <c r="C104" s="3">
        <v>494.47998000000001</v>
      </c>
      <c r="D104" s="4">
        <f t="shared" si="6"/>
        <v>7.5828828828828805E-3</v>
      </c>
      <c r="E104" s="4">
        <f t="shared" si="7"/>
        <v>8.2413330000000009</v>
      </c>
    </row>
    <row r="105" spans="1:5" x14ac:dyDescent="0.55000000000000004">
      <c r="A105" s="3">
        <v>31.4</v>
      </c>
      <c r="B105" s="3">
        <v>2.6145</v>
      </c>
      <c r="C105" s="3">
        <v>497.69997999999998</v>
      </c>
      <c r="D105" s="4">
        <f t="shared" si="6"/>
        <v>7.6576576576576558E-3</v>
      </c>
      <c r="E105" s="4">
        <f t="shared" si="7"/>
        <v>8.2949996666666657</v>
      </c>
    </row>
    <row r="106" spans="1:5" x14ac:dyDescent="0.55000000000000004">
      <c r="A106" s="3">
        <v>31.5</v>
      </c>
      <c r="B106" s="3">
        <v>2.6229</v>
      </c>
      <c r="C106" s="3">
        <v>501.73</v>
      </c>
      <c r="D106" s="4">
        <f t="shared" si="6"/>
        <v>7.7333333333333316E-3</v>
      </c>
      <c r="E106" s="4">
        <f t="shared" si="7"/>
        <v>8.362166666666667</v>
      </c>
    </row>
    <row r="107" spans="1:5" x14ac:dyDescent="0.55000000000000004">
      <c r="A107" s="3">
        <v>31.6</v>
      </c>
      <c r="B107" s="3">
        <v>2.6312000000000002</v>
      </c>
      <c r="C107" s="3">
        <v>504.94999000000001</v>
      </c>
      <c r="D107" s="4">
        <f t="shared" si="6"/>
        <v>7.8081081081081069E-3</v>
      </c>
      <c r="E107" s="4">
        <f t="shared" si="7"/>
        <v>8.4158331666666673</v>
      </c>
    </row>
    <row r="108" spans="1:5" x14ac:dyDescent="0.55000000000000004">
      <c r="A108" s="3">
        <v>31.7</v>
      </c>
      <c r="B108" s="3">
        <v>2.6396000000000002</v>
      </c>
      <c r="C108" s="3">
        <v>508.98000999999999</v>
      </c>
      <c r="D108" s="4">
        <f t="shared" si="6"/>
        <v>7.8837837837837828E-3</v>
      </c>
      <c r="E108" s="4">
        <f t="shared" si="7"/>
        <v>8.4830001666666668</v>
      </c>
    </row>
    <row r="109" spans="1:5" x14ac:dyDescent="0.55000000000000004">
      <c r="A109" s="3">
        <v>31.8</v>
      </c>
      <c r="B109" s="3">
        <v>2.6478999999999999</v>
      </c>
      <c r="C109" s="3">
        <v>512.20000000000005</v>
      </c>
      <c r="D109" s="4">
        <f t="shared" si="6"/>
        <v>7.9585585585585546E-3</v>
      </c>
      <c r="E109" s="4">
        <f t="shared" si="7"/>
        <v>8.5366666666666671</v>
      </c>
    </row>
    <row r="110" spans="1:5" x14ac:dyDescent="0.55000000000000004">
      <c r="A110" s="3">
        <v>31.9</v>
      </c>
      <c r="B110" s="3">
        <v>2.6562000000000001</v>
      </c>
      <c r="C110" s="3">
        <v>515.41998999999998</v>
      </c>
      <c r="D110" s="4">
        <f t="shared" si="6"/>
        <v>8.0333333333333333E-3</v>
      </c>
      <c r="E110" s="4">
        <f t="shared" si="7"/>
        <v>8.5903331666666656</v>
      </c>
    </row>
    <row r="111" spans="1:5" x14ac:dyDescent="0.55000000000000004">
      <c r="A111" s="3">
        <v>32</v>
      </c>
      <c r="B111" s="3">
        <v>2.6644999999999999</v>
      </c>
      <c r="C111" s="3">
        <v>518.63998000000004</v>
      </c>
      <c r="D111" s="4">
        <f t="shared" si="6"/>
        <v>8.1081081081081051E-3</v>
      </c>
      <c r="E111" s="4">
        <f t="shared" si="7"/>
        <v>8.6439996666666676</v>
      </c>
    </row>
    <row r="112" spans="1:5" x14ac:dyDescent="0.55000000000000004">
      <c r="A112" s="3">
        <v>32.1</v>
      </c>
      <c r="B112" s="3">
        <v>2.6728999999999998</v>
      </c>
      <c r="C112" s="3">
        <v>521.85996999999998</v>
      </c>
      <c r="D112" s="4">
        <f t="shared" si="6"/>
        <v>8.183783783783781E-3</v>
      </c>
      <c r="E112" s="4">
        <f t="shared" si="7"/>
        <v>8.6976661666666661</v>
      </c>
    </row>
    <row r="113" spans="1:5" x14ac:dyDescent="0.55000000000000004">
      <c r="A113" s="3">
        <v>32.200000000000003</v>
      </c>
      <c r="B113" s="3">
        <v>2.6812</v>
      </c>
      <c r="C113" s="3">
        <v>525.08001999999999</v>
      </c>
      <c r="D113" s="4">
        <f t="shared" si="6"/>
        <v>8.2585585585585562E-3</v>
      </c>
      <c r="E113" s="4">
        <f t="shared" si="7"/>
        <v>8.7513336666666657</v>
      </c>
    </row>
    <row r="114" spans="1:5" x14ac:dyDescent="0.55000000000000004">
      <c r="A114" s="3">
        <v>32.299999999999997</v>
      </c>
      <c r="B114" s="3">
        <v>2.6894999999999998</v>
      </c>
      <c r="C114" s="3">
        <v>528.31002000000001</v>
      </c>
      <c r="D114" s="4">
        <f t="shared" si="6"/>
        <v>8.333333333333328E-3</v>
      </c>
      <c r="E114" s="4">
        <f t="shared" si="7"/>
        <v>8.8051670000000009</v>
      </c>
    </row>
    <row r="115" spans="1:5" x14ac:dyDescent="0.55000000000000004">
      <c r="A115" s="3">
        <v>32.4</v>
      </c>
      <c r="B115" s="3">
        <v>2.6979000000000002</v>
      </c>
      <c r="C115" s="3">
        <v>531.53000999999995</v>
      </c>
      <c r="D115" s="4">
        <f t="shared" si="6"/>
        <v>8.4090090090090074E-3</v>
      </c>
      <c r="E115" s="4">
        <f t="shared" si="7"/>
        <v>8.8588334999999994</v>
      </c>
    </row>
    <row r="116" spans="1:5" x14ac:dyDescent="0.55000000000000004">
      <c r="A116" s="3">
        <v>32.5</v>
      </c>
      <c r="B116" s="3">
        <v>2.7061999999999999</v>
      </c>
      <c r="C116" s="3">
        <v>534.75</v>
      </c>
      <c r="D116" s="4">
        <f t="shared" si="6"/>
        <v>8.4837837837837826E-3</v>
      </c>
      <c r="E116" s="4">
        <f t="shared" si="7"/>
        <v>8.9124999999999996</v>
      </c>
    </row>
    <row r="117" spans="1:5" x14ac:dyDescent="0.55000000000000004">
      <c r="A117" s="3">
        <v>32.6</v>
      </c>
      <c r="B117" s="3">
        <v>2.7145999999999999</v>
      </c>
      <c r="C117" s="3">
        <v>537.96999000000005</v>
      </c>
      <c r="D117" s="4">
        <f t="shared" si="6"/>
        <v>8.559459459459455E-3</v>
      </c>
      <c r="E117" s="4">
        <f t="shared" si="7"/>
        <v>8.9661665000000017</v>
      </c>
    </row>
    <row r="118" spans="1:5" x14ac:dyDescent="0.55000000000000004">
      <c r="A118" s="3">
        <v>32.700000000000003</v>
      </c>
      <c r="B118" s="3">
        <v>2.7229000000000001</v>
      </c>
      <c r="C118" s="3">
        <v>541.18997999999999</v>
      </c>
      <c r="D118" s="4">
        <f t="shared" si="6"/>
        <v>8.6342342342342338E-3</v>
      </c>
      <c r="E118" s="4">
        <f t="shared" si="7"/>
        <v>9.0198330000000002</v>
      </c>
    </row>
    <row r="119" spans="1:5" x14ac:dyDescent="0.55000000000000004">
      <c r="A119" s="3">
        <v>32.799999999999997</v>
      </c>
      <c r="B119" s="3">
        <v>2.7311999999999999</v>
      </c>
      <c r="C119" s="3">
        <v>544.40998000000002</v>
      </c>
      <c r="D119" s="4">
        <f t="shared" si="6"/>
        <v>8.7090090090090055E-3</v>
      </c>
      <c r="E119" s="4">
        <f t="shared" si="7"/>
        <v>9.0734996666666667</v>
      </c>
    </row>
    <row r="120" spans="1:5" x14ac:dyDescent="0.55000000000000004">
      <c r="A120" s="3">
        <v>32.9</v>
      </c>
      <c r="B120" s="3">
        <v>2.7395</v>
      </c>
      <c r="C120" s="3">
        <v>546.83000000000004</v>
      </c>
      <c r="D120" s="4">
        <f t="shared" si="6"/>
        <v>8.7837837837837808E-3</v>
      </c>
      <c r="E120" s="4">
        <f t="shared" si="7"/>
        <v>9.1138333333333339</v>
      </c>
    </row>
    <row r="121" spans="1:5" x14ac:dyDescent="0.55000000000000004">
      <c r="A121" s="3">
        <v>33</v>
      </c>
      <c r="B121" s="3">
        <v>2.7479</v>
      </c>
      <c r="C121" s="3">
        <v>550.04998999999998</v>
      </c>
      <c r="D121" s="4">
        <f t="shared" si="6"/>
        <v>8.8594594594594567E-3</v>
      </c>
      <c r="E121" s="4">
        <f t="shared" si="7"/>
        <v>9.1674998333333324</v>
      </c>
    </row>
    <row r="122" spans="1:5" x14ac:dyDescent="0.55000000000000004">
      <c r="A122" s="3">
        <v>33.1</v>
      </c>
      <c r="B122" s="3">
        <v>2.7562000000000002</v>
      </c>
      <c r="C122" s="3">
        <v>552.47001</v>
      </c>
      <c r="D122" s="4">
        <f t="shared" si="6"/>
        <v>8.9342342342342354E-3</v>
      </c>
      <c r="E122" s="4">
        <f t="shared" si="7"/>
        <v>9.2078334999999996</v>
      </c>
    </row>
    <row r="123" spans="1:5" x14ac:dyDescent="0.55000000000000004">
      <c r="A123" s="3">
        <v>33.200000000000003</v>
      </c>
      <c r="B123" s="3">
        <v>2.7645</v>
      </c>
      <c r="C123" s="3">
        <v>555.69001000000003</v>
      </c>
      <c r="D123" s="4">
        <f t="shared" si="6"/>
        <v>9.0090090090090072E-3</v>
      </c>
      <c r="E123" s="4">
        <f t="shared" si="7"/>
        <v>9.2615001666666679</v>
      </c>
    </row>
    <row r="124" spans="1:5" x14ac:dyDescent="0.55000000000000004">
      <c r="A124" s="3">
        <v>33.299999999999997</v>
      </c>
      <c r="B124" s="3">
        <v>2.7728999999999999</v>
      </c>
      <c r="C124" s="3">
        <v>558.10002999999995</v>
      </c>
      <c r="D124" s="4">
        <f t="shared" si="6"/>
        <v>9.0846846846846831E-3</v>
      </c>
      <c r="E124" s="4">
        <f t="shared" si="7"/>
        <v>9.3016671666666664</v>
      </c>
    </row>
    <row r="125" spans="1:5" x14ac:dyDescent="0.55000000000000004">
      <c r="A125" s="3">
        <v>33.4</v>
      </c>
      <c r="B125" s="3">
        <v>2.7812000000000001</v>
      </c>
      <c r="C125" s="3">
        <v>560.51999000000001</v>
      </c>
      <c r="D125" s="4">
        <f t="shared" si="6"/>
        <v>9.1594594594594583E-3</v>
      </c>
      <c r="E125" s="4">
        <f t="shared" si="7"/>
        <v>9.3419998333333343</v>
      </c>
    </row>
    <row r="126" spans="1:5" x14ac:dyDescent="0.55000000000000004">
      <c r="A126" s="3">
        <v>33.5</v>
      </c>
      <c r="B126" s="3">
        <v>2.7896000000000001</v>
      </c>
      <c r="C126" s="3">
        <v>563.73999000000003</v>
      </c>
      <c r="D126" s="4">
        <f t="shared" si="6"/>
        <v>9.2351351351351342E-3</v>
      </c>
      <c r="E126" s="4">
        <f t="shared" si="7"/>
        <v>9.3956665000000008</v>
      </c>
    </row>
    <row r="127" spans="1:5" x14ac:dyDescent="0.55000000000000004">
      <c r="A127" s="3">
        <v>33.6</v>
      </c>
      <c r="B127" s="3">
        <v>2.7978999999999998</v>
      </c>
      <c r="C127" s="3">
        <v>566.16001000000006</v>
      </c>
      <c r="D127" s="4">
        <f t="shared" si="6"/>
        <v>9.309909909909906E-3</v>
      </c>
      <c r="E127" s="4">
        <f t="shared" si="7"/>
        <v>9.436000166666668</v>
      </c>
    </row>
    <row r="128" spans="1:5" x14ac:dyDescent="0.55000000000000004">
      <c r="A128" s="3">
        <v>33.700000000000003</v>
      </c>
      <c r="B128" s="3">
        <v>2.8062</v>
      </c>
      <c r="C128" s="3">
        <v>568.56997000000001</v>
      </c>
      <c r="D128" s="4">
        <f t="shared" si="6"/>
        <v>9.3846846846846813E-3</v>
      </c>
      <c r="E128" s="4">
        <f t="shared" si="7"/>
        <v>9.4761661666666672</v>
      </c>
    </row>
    <row r="129" spans="1:5" x14ac:dyDescent="0.55000000000000004">
      <c r="A129" s="3">
        <v>33.799999999999997</v>
      </c>
      <c r="B129" s="3">
        <v>2.8144999999999998</v>
      </c>
      <c r="C129" s="3">
        <v>570.99</v>
      </c>
      <c r="D129" s="4">
        <f t="shared" si="6"/>
        <v>9.4594594594594565E-3</v>
      </c>
      <c r="E129" s="4">
        <f t="shared" si="7"/>
        <v>9.5165000000000006</v>
      </c>
    </row>
    <row r="130" spans="1:5" x14ac:dyDescent="0.55000000000000004">
      <c r="A130" s="3">
        <v>33.9</v>
      </c>
      <c r="B130" s="3">
        <v>2.8229000000000002</v>
      </c>
      <c r="C130" s="3">
        <v>573.41002000000003</v>
      </c>
      <c r="D130" s="4">
        <f t="shared" si="6"/>
        <v>9.5351351351351359E-3</v>
      </c>
      <c r="E130" s="4">
        <f t="shared" si="7"/>
        <v>9.5568336666666678</v>
      </c>
    </row>
    <row r="131" spans="1:5" x14ac:dyDescent="0.55000000000000004">
      <c r="A131" s="3">
        <v>34</v>
      </c>
      <c r="B131" s="3">
        <v>2.8311999999999999</v>
      </c>
      <c r="C131" s="3">
        <v>575.81997999999999</v>
      </c>
      <c r="D131" s="4">
        <f t="shared" ref="D131:D152" si="8">(B131/$L$3)-0.0158963963963964</f>
        <v>9.6099099099099076E-3</v>
      </c>
      <c r="E131" s="4">
        <f t="shared" ref="E131:E152" si="9">C131/$L$4</f>
        <v>9.596999666666667</v>
      </c>
    </row>
    <row r="132" spans="1:5" x14ac:dyDescent="0.55000000000000004">
      <c r="A132" s="3">
        <v>34.1</v>
      </c>
      <c r="B132" s="3">
        <v>2.8395000000000001</v>
      </c>
      <c r="C132" s="3">
        <v>577.42998</v>
      </c>
      <c r="D132" s="4">
        <f t="shared" si="8"/>
        <v>9.6846846846846829E-3</v>
      </c>
      <c r="E132" s="4">
        <f t="shared" si="9"/>
        <v>9.6238329999999994</v>
      </c>
    </row>
    <row r="133" spans="1:5" x14ac:dyDescent="0.55000000000000004">
      <c r="A133" s="3">
        <v>34.200000000000003</v>
      </c>
      <c r="B133" s="3">
        <v>2.8479000000000001</v>
      </c>
      <c r="C133" s="3">
        <v>579.85</v>
      </c>
      <c r="D133" s="4">
        <f t="shared" si="8"/>
        <v>9.7603603603603588E-3</v>
      </c>
      <c r="E133" s="4">
        <f t="shared" si="9"/>
        <v>9.6641666666666666</v>
      </c>
    </row>
    <row r="134" spans="1:5" x14ac:dyDescent="0.55000000000000004">
      <c r="A134" s="3">
        <v>34.299999999999997</v>
      </c>
      <c r="B134" s="3">
        <v>2.8561999999999999</v>
      </c>
      <c r="C134" s="3">
        <v>581.46</v>
      </c>
      <c r="D134" s="4">
        <f t="shared" si="8"/>
        <v>9.8351351351351306E-3</v>
      </c>
      <c r="E134" s="4">
        <f t="shared" si="9"/>
        <v>9.6910000000000007</v>
      </c>
    </row>
    <row r="135" spans="1:5" x14ac:dyDescent="0.55000000000000004">
      <c r="A135" s="3">
        <v>34.4</v>
      </c>
      <c r="B135" s="3">
        <v>2.8645999999999998</v>
      </c>
      <c r="C135" s="3">
        <v>583.88001999999994</v>
      </c>
      <c r="D135" s="4">
        <f t="shared" si="8"/>
        <v>9.9108108108108064E-3</v>
      </c>
      <c r="E135" s="4">
        <f t="shared" si="9"/>
        <v>9.7313336666666661</v>
      </c>
    </row>
    <row r="136" spans="1:5" x14ac:dyDescent="0.55000000000000004">
      <c r="A136" s="3">
        <v>34.5</v>
      </c>
      <c r="B136" s="3">
        <v>2.8729</v>
      </c>
      <c r="C136" s="3">
        <v>585.49001999999996</v>
      </c>
      <c r="D136" s="4">
        <f t="shared" si="8"/>
        <v>9.9855855855855852E-3</v>
      </c>
      <c r="E136" s="4">
        <f t="shared" si="9"/>
        <v>9.7581669999999985</v>
      </c>
    </row>
    <row r="137" spans="1:5" x14ac:dyDescent="0.55000000000000004">
      <c r="A137" s="3">
        <v>34.6</v>
      </c>
      <c r="B137" s="3">
        <v>2.8812000000000002</v>
      </c>
      <c r="C137" s="3">
        <v>587.10001</v>
      </c>
      <c r="D137" s="4">
        <f t="shared" si="8"/>
        <v>1.006036036036036E-2</v>
      </c>
      <c r="E137" s="4">
        <f t="shared" si="9"/>
        <v>9.7850001666666664</v>
      </c>
    </row>
    <row r="138" spans="1:5" x14ac:dyDescent="0.55000000000000004">
      <c r="A138" s="3">
        <v>34.700000000000003</v>
      </c>
      <c r="B138" s="3">
        <v>2.8895</v>
      </c>
      <c r="C138" s="3">
        <v>588.71001000000001</v>
      </c>
      <c r="D138" s="4">
        <f t="shared" si="8"/>
        <v>1.0135135135135132E-2</v>
      </c>
      <c r="E138" s="4">
        <f t="shared" si="9"/>
        <v>9.8118335000000005</v>
      </c>
    </row>
    <row r="139" spans="1:5" x14ac:dyDescent="0.55000000000000004">
      <c r="A139" s="3">
        <v>34.799999999999997</v>
      </c>
      <c r="B139" s="3">
        <v>2.8978999999999999</v>
      </c>
      <c r="C139" s="3">
        <v>590.32001000000002</v>
      </c>
      <c r="D139" s="4">
        <f t="shared" si="8"/>
        <v>1.0210810810810808E-2</v>
      </c>
      <c r="E139" s="4">
        <f t="shared" si="9"/>
        <v>9.8386668333333329</v>
      </c>
    </row>
    <row r="140" spans="1:5" x14ac:dyDescent="0.55000000000000004">
      <c r="A140" s="3">
        <v>34.9</v>
      </c>
      <c r="B140" s="3">
        <v>2.9062000000000001</v>
      </c>
      <c r="C140" s="3">
        <v>591.11996999999997</v>
      </c>
      <c r="D140" s="4">
        <f t="shared" si="8"/>
        <v>1.0285585585585583E-2</v>
      </c>
      <c r="E140" s="4">
        <f t="shared" si="9"/>
        <v>9.8519994999999998</v>
      </c>
    </row>
    <row r="141" spans="1:5" x14ac:dyDescent="0.55000000000000004">
      <c r="A141" s="3">
        <v>35</v>
      </c>
      <c r="B141" s="3">
        <v>2.9144999999999999</v>
      </c>
      <c r="C141" s="3">
        <v>591.92999999999995</v>
      </c>
      <c r="D141" s="4">
        <f t="shared" si="8"/>
        <v>1.0360360360360359E-2</v>
      </c>
      <c r="E141" s="4">
        <f t="shared" si="9"/>
        <v>9.865499999999999</v>
      </c>
    </row>
    <row r="142" spans="1:5" x14ac:dyDescent="0.55000000000000004">
      <c r="A142" s="3">
        <v>35.1</v>
      </c>
      <c r="B142" s="3">
        <v>2.9228999999999998</v>
      </c>
      <c r="C142" s="3">
        <v>592.73003000000006</v>
      </c>
      <c r="D142" s="4">
        <f t="shared" si="8"/>
        <v>1.0436036036036031E-2</v>
      </c>
      <c r="E142" s="4">
        <f t="shared" si="9"/>
        <v>9.878833833333335</v>
      </c>
    </row>
    <row r="143" spans="1:5" x14ac:dyDescent="0.55000000000000004">
      <c r="A143" s="3">
        <v>35.200000000000003</v>
      </c>
      <c r="B143" s="3">
        <v>2.9312</v>
      </c>
      <c r="C143" s="3">
        <v>593.54</v>
      </c>
      <c r="D143" s="4">
        <f t="shared" si="8"/>
        <v>1.051081081081081E-2</v>
      </c>
      <c r="E143" s="4">
        <f t="shared" si="9"/>
        <v>9.8923333333333332</v>
      </c>
    </row>
    <row r="144" spans="1:5" x14ac:dyDescent="0.55000000000000004">
      <c r="A144" s="3">
        <v>35.299999999999997</v>
      </c>
      <c r="B144" s="3">
        <v>2.9396</v>
      </c>
      <c r="C144" s="3">
        <v>594.34001999999998</v>
      </c>
      <c r="D144" s="4">
        <f t="shared" si="8"/>
        <v>1.0586486486486486E-2</v>
      </c>
      <c r="E144" s="4">
        <f t="shared" si="9"/>
        <v>9.9056669999999993</v>
      </c>
    </row>
    <row r="145" spans="1:5" x14ac:dyDescent="0.55000000000000004">
      <c r="A145" s="3">
        <v>35.4</v>
      </c>
      <c r="B145" s="3">
        <v>2.9479000000000002</v>
      </c>
      <c r="C145" s="3">
        <v>594.34001999999998</v>
      </c>
      <c r="D145" s="4">
        <f t="shared" si="8"/>
        <v>1.0661261261261261E-2</v>
      </c>
      <c r="E145" s="4">
        <f t="shared" si="9"/>
        <v>9.9056669999999993</v>
      </c>
    </row>
    <row r="146" spans="1:5" x14ac:dyDescent="0.55000000000000004">
      <c r="A146" s="3">
        <v>35.5</v>
      </c>
      <c r="B146" s="3">
        <v>2.9561999999999999</v>
      </c>
      <c r="C146" s="3">
        <v>595.14999</v>
      </c>
      <c r="D146" s="4">
        <f t="shared" si="8"/>
        <v>1.0736036036036033E-2</v>
      </c>
      <c r="E146" s="4">
        <f t="shared" si="9"/>
        <v>9.9191664999999993</v>
      </c>
    </row>
    <row r="147" spans="1:5" x14ac:dyDescent="0.55000000000000004">
      <c r="A147" s="3">
        <v>35.6</v>
      </c>
      <c r="B147" s="3">
        <v>2.9645000000000001</v>
      </c>
      <c r="C147" s="3">
        <v>595.14999</v>
      </c>
      <c r="D147" s="4">
        <f t="shared" si="8"/>
        <v>1.0810810810810811E-2</v>
      </c>
      <c r="E147" s="4">
        <f t="shared" si="9"/>
        <v>9.9191664999999993</v>
      </c>
    </row>
    <row r="148" spans="1:5" x14ac:dyDescent="0.55000000000000004">
      <c r="A148" s="3">
        <v>35.700000000000003</v>
      </c>
      <c r="B148" s="3">
        <v>2.9729000000000001</v>
      </c>
      <c r="C148" s="3">
        <v>594.34001999999998</v>
      </c>
      <c r="D148" s="4">
        <f t="shared" si="8"/>
        <v>1.0886486486486484E-2</v>
      </c>
      <c r="E148" s="4">
        <f t="shared" si="9"/>
        <v>9.9056669999999993</v>
      </c>
    </row>
    <row r="149" spans="1:5" x14ac:dyDescent="0.55000000000000004">
      <c r="A149" s="3">
        <v>35.799999999999997</v>
      </c>
      <c r="B149" s="3">
        <v>2.9811999999999999</v>
      </c>
      <c r="C149" s="3">
        <v>593.54</v>
      </c>
      <c r="D149" s="4">
        <f t="shared" si="8"/>
        <v>1.0961261261261259E-2</v>
      </c>
      <c r="E149" s="4">
        <f t="shared" si="9"/>
        <v>9.8923333333333332</v>
      </c>
    </row>
    <row r="150" spans="1:5" x14ac:dyDescent="0.55000000000000004">
      <c r="A150" s="3">
        <v>35.9</v>
      </c>
      <c r="B150" s="3">
        <v>2.9895</v>
      </c>
      <c r="C150" s="3">
        <v>591.92999999999995</v>
      </c>
      <c r="D150" s="4">
        <f t="shared" si="8"/>
        <v>1.1036036036036034E-2</v>
      </c>
      <c r="E150" s="4">
        <f t="shared" si="9"/>
        <v>9.865499999999999</v>
      </c>
    </row>
    <row r="151" spans="1:5" x14ac:dyDescent="0.55000000000000004">
      <c r="A151" s="3">
        <v>36</v>
      </c>
      <c r="B151" s="3">
        <v>2.9979</v>
      </c>
      <c r="C151" s="3">
        <v>589.50998000000004</v>
      </c>
      <c r="D151" s="4">
        <f t="shared" si="8"/>
        <v>1.111171171171171E-2</v>
      </c>
      <c r="E151" s="4">
        <f t="shared" si="9"/>
        <v>9.8251663333333337</v>
      </c>
    </row>
    <row r="152" spans="1:5" x14ac:dyDescent="0.55000000000000004">
      <c r="A152" s="3">
        <v>36.1</v>
      </c>
      <c r="B152" s="3">
        <v>3.0062000000000002</v>
      </c>
      <c r="C152" s="3">
        <v>584.67998999999998</v>
      </c>
      <c r="D152" s="4">
        <f t="shared" si="8"/>
        <v>1.1186486486486485E-2</v>
      </c>
      <c r="E152" s="4">
        <f t="shared" si="9"/>
        <v>9.7446664999999992</v>
      </c>
    </row>
    <row r="153" spans="1:5" x14ac:dyDescent="0.55000000000000004">
      <c r="D153" s="4"/>
      <c r="E153" s="4"/>
    </row>
    <row r="154" spans="1:5" x14ac:dyDescent="0.55000000000000004">
      <c r="D154" s="4"/>
      <c r="E154" s="4"/>
    </row>
    <row r="155" spans="1:5" x14ac:dyDescent="0.55000000000000004">
      <c r="D155" s="4"/>
      <c r="E155" s="4"/>
    </row>
    <row r="156" spans="1:5" x14ac:dyDescent="0.55000000000000004">
      <c r="D156" s="4"/>
      <c r="E156" s="4"/>
    </row>
    <row r="157" spans="1:5" x14ac:dyDescent="0.55000000000000004">
      <c r="D157" s="4"/>
      <c r="E157" s="4"/>
    </row>
    <row r="158" spans="1:5" x14ac:dyDescent="0.55000000000000004">
      <c r="D158" s="4"/>
      <c r="E158" s="4"/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C908D-E5F9-4544-A06B-7B010B800920}">
  <dimension ref="A1:M538"/>
  <sheetViews>
    <sheetView workbookViewId="0">
      <selection activeCell="G18" sqref="G18"/>
    </sheetView>
  </sheetViews>
  <sheetFormatPr defaultRowHeight="14.4" x14ac:dyDescent="0.55000000000000004"/>
  <cols>
    <col min="1" max="3" width="8.83984375" style="3"/>
    <col min="4" max="4" width="10.89453125" customWidth="1"/>
    <col min="5" max="5" width="6.68359375" customWidth="1"/>
  </cols>
  <sheetData>
    <row r="1" spans="1:13" x14ac:dyDescent="0.55000000000000004">
      <c r="A1" s="3" t="s">
        <v>0</v>
      </c>
      <c r="B1" s="3" t="s">
        <v>1</v>
      </c>
      <c r="C1" s="3" t="s">
        <v>2</v>
      </c>
      <c r="D1" s="4" t="s">
        <v>3</v>
      </c>
      <c r="E1" s="4" t="s">
        <v>17</v>
      </c>
    </row>
    <row r="2" spans="1:13" x14ac:dyDescent="0.55000000000000004">
      <c r="A2" s="3" t="s">
        <v>4</v>
      </c>
      <c r="B2" s="3" t="s">
        <v>5</v>
      </c>
      <c r="C2" s="3" t="s">
        <v>6</v>
      </c>
      <c r="D2" s="2" t="s">
        <v>7</v>
      </c>
      <c r="E2" s="4" t="s">
        <v>16</v>
      </c>
    </row>
    <row r="3" spans="1:13" x14ac:dyDescent="0.55000000000000004">
      <c r="A3" s="3">
        <v>23.3</v>
      </c>
      <c r="B3" s="3">
        <v>1.9396</v>
      </c>
      <c r="C3" s="3">
        <v>103.89</v>
      </c>
      <c r="D3" s="4">
        <v>0</v>
      </c>
      <c r="E3" s="4">
        <f t="shared" ref="E3:E66" si="0">C3/$L$4</f>
        <v>1.7315</v>
      </c>
      <c r="K3" t="s">
        <v>15</v>
      </c>
      <c r="L3">
        <v>111</v>
      </c>
      <c r="M3" t="s">
        <v>9</v>
      </c>
    </row>
    <row r="4" spans="1:13" x14ac:dyDescent="0.55000000000000004">
      <c r="A4" s="3">
        <v>23.4</v>
      </c>
      <c r="B4" s="3">
        <v>1.9479</v>
      </c>
      <c r="C4" s="3">
        <v>107.11</v>
      </c>
      <c r="D4" s="4">
        <f t="shared" ref="D4:D67" si="1">((B4/$L$3))-0.0174738738738739</f>
        <v>7.4774774774747504E-5</v>
      </c>
      <c r="E4" s="4">
        <f t="shared" si="0"/>
        <v>1.7851666666666666</v>
      </c>
      <c r="K4" t="s">
        <v>14</v>
      </c>
      <c r="L4">
        <f>10*6</f>
        <v>60</v>
      </c>
      <c r="M4" t="s">
        <v>13</v>
      </c>
    </row>
    <row r="5" spans="1:13" x14ac:dyDescent="0.55000000000000004">
      <c r="A5" s="3">
        <v>23.5</v>
      </c>
      <c r="B5" s="3">
        <v>1.9561999999999999</v>
      </c>
      <c r="C5" s="3">
        <v>111.13</v>
      </c>
      <c r="D5" s="4">
        <f t="shared" si="1"/>
        <v>1.4954954954952276E-4</v>
      </c>
      <c r="E5" s="4">
        <f t="shared" si="0"/>
        <v>1.8521666666666665</v>
      </c>
    </row>
    <row r="6" spans="1:13" x14ac:dyDescent="0.55000000000000004">
      <c r="A6" s="3">
        <v>23.6</v>
      </c>
      <c r="B6" s="3">
        <v>1.9645999999999999</v>
      </c>
      <c r="C6" s="3">
        <v>115.16</v>
      </c>
      <c r="D6" s="4">
        <f t="shared" si="1"/>
        <v>2.2522522522519864E-4</v>
      </c>
      <c r="E6" s="4">
        <f t="shared" si="0"/>
        <v>1.9193333333333333</v>
      </c>
    </row>
    <row r="7" spans="1:13" x14ac:dyDescent="0.55000000000000004">
      <c r="A7" s="3">
        <v>23.7</v>
      </c>
      <c r="B7" s="3">
        <v>1.9729000000000001</v>
      </c>
      <c r="C7" s="3">
        <v>119.19001</v>
      </c>
      <c r="D7" s="4">
        <f t="shared" si="1"/>
        <v>2.999999999999739E-4</v>
      </c>
      <c r="E7" s="4">
        <f t="shared" si="0"/>
        <v>1.9865001666666666</v>
      </c>
    </row>
    <row r="8" spans="1:13" x14ac:dyDescent="0.55000000000000004">
      <c r="A8" s="3">
        <v>23.8</v>
      </c>
      <c r="B8" s="3">
        <v>1.9812000000000001</v>
      </c>
      <c r="C8" s="3">
        <v>124.01999000000001</v>
      </c>
      <c r="D8" s="4">
        <f t="shared" si="1"/>
        <v>3.7477477477474916E-4</v>
      </c>
      <c r="E8" s="4">
        <f t="shared" si="0"/>
        <v>2.0669998333333335</v>
      </c>
    </row>
    <row r="9" spans="1:13" x14ac:dyDescent="0.55000000000000004">
      <c r="A9" s="3">
        <v>23.9</v>
      </c>
      <c r="B9" s="3">
        <v>1.9896</v>
      </c>
      <c r="C9" s="3">
        <v>127.24</v>
      </c>
      <c r="D9" s="4">
        <f t="shared" si="1"/>
        <v>4.5045045045042503E-4</v>
      </c>
      <c r="E9" s="4">
        <f t="shared" si="0"/>
        <v>2.1206666666666667</v>
      </c>
    </row>
    <row r="10" spans="1:13" x14ac:dyDescent="0.55000000000000004">
      <c r="A10" s="3">
        <v>24</v>
      </c>
      <c r="B10" s="3">
        <v>1.9979</v>
      </c>
      <c r="C10" s="3">
        <v>132.07</v>
      </c>
      <c r="D10" s="4">
        <f t="shared" si="1"/>
        <v>5.2522522522519682E-4</v>
      </c>
      <c r="E10" s="4">
        <f t="shared" si="0"/>
        <v>2.2011666666666665</v>
      </c>
    </row>
    <row r="11" spans="1:13" x14ac:dyDescent="0.55000000000000004">
      <c r="A11" s="3">
        <v>24.1</v>
      </c>
      <c r="B11" s="3">
        <v>2.0063</v>
      </c>
      <c r="C11" s="3">
        <v>136.09998999999999</v>
      </c>
      <c r="D11" s="4">
        <f t="shared" si="1"/>
        <v>6.009009009008727E-4</v>
      </c>
      <c r="E11" s="4">
        <f t="shared" si="0"/>
        <v>2.2683331666666664</v>
      </c>
    </row>
    <row r="12" spans="1:13" x14ac:dyDescent="0.55000000000000004">
      <c r="A12" s="3">
        <v>24.2</v>
      </c>
      <c r="B12" s="3">
        <v>2.0146000000000002</v>
      </c>
      <c r="C12" s="3">
        <v>140.13</v>
      </c>
      <c r="D12" s="4">
        <f t="shared" si="1"/>
        <v>6.7567567567565143E-4</v>
      </c>
      <c r="E12" s="4">
        <f t="shared" si="0"/>
        <v>2.3355000000000001</v>
      </c>
    </row>
    <row r="13" spans="1:13" x14ac:dyDescent="0.55000000000000004">
      <c r="A13" s="3">
        <v>24.3</v>
      </c>
      <c r="B13" s="3">
        <v>2.0228999999999999</v>
      </c>
      <c r="C13" s="3">
        <v>144.15</v>
      </c>
      <c r="D13" s="4">
        <f t="shared" si="1"/>
        <v>7.5045045045042322E-4</v>
      </c>
      <c r="E13" s="4">
        <f t="shared" si="0"/>
        <v>2.4025000000000003</v>
      </c>
    </row>
    <row r="14" spans="1:13" x14ac:dyDescent="0.55000000000000004">
      <c r="A14" s="3">
        <v>24.4</v>
      </c>
      <c r="B14" s="3">
        <v>2.0312000000000001</v>
      </c>
      <c r="C14" s="3">
        <v>148.99001000000001</v>
      </c>
      <c r="D14" s="4">
        <f t="shared" si="1"/>
        <v>8.2522522522519848E-4</v>
      </c>
      <c r="E14" s="4">
        <f t="shared" si="0"/>
        <v>2.4831668333333337</v>
      </c>
    </row>
    <row r="15" spans="1:13" x14ac:dyDescent="0.55000000000000004">
      <c r="A15" s="3">
        <v>24.5</v>
      </c>
      <c r="B15" s="3">
        <v>2.0396000000000001</v>
      </c>
      <c r="C15" s="3">
        <v>153.00998999999999</v>
      </c>
      <c r="D15" s="4">
        <f t="shared" si="1"/>
        <v>9.0090090090087435E-4</v>
      </c>
      <c r="E15" s="4">
        <f t="shared" si="0"/>
        <v>2.5501665</v>
      </c>
    </row>
    <row r="16" spans="1:13" x14ac:dyDescent="0.55000000000000004">
      <c r="A16" s="3">
        <v>24.6</v>
      </c>
      <c r="B16" s="3">
        <v>2.0478999999999998</v>
      </c>
      <c r="C16" s="3">
        <v>157.84</v>
      </c>
      <c r="D16" s="4">
        <f t="shared" si="1"/>
        <v>9.7567567567564614E-4</v>
      </c>
      <c r="E16" s="4">
        <f t="shared" si="0"/>
        <v>2.6306666666666669</v>
      </c>
    </row>
    <row r="17" spans="1:13" x14ac:dyDescent="0.55000000000000004">
      <c r="A17" s="3">
        <v>24.7</v>
      </c>
      <c r="B17" s="3">
        <v>2.0562</v>
      </c>
      <c r="C17" s="3">
        <v>161.87</v>
      </c>
      <c r="D17" s="4">
        <f t="shared" si="1"/>
        <v>1.0504504504504249E-3</v>
      </c>
      <c r="E17" s="4">
        <f t="shared" si="0"/>
        <v>2.6978333333333335</v>
      </c>
    </row>
    <row r="18" spans="1:13" x14ac:dyDescent="0.55000000000000004">
      <c r="A18" s="3">
        <v>24.8</v>
      </c>
      <c r="B18" s="3">
        <v>2.0646</v>
      </c>
      <c r="C18" s="3">
        <v>165.90001000000001</v>
      </c>
      <c r="D18" s="4">
        <f t="shared" si="1"/>
        <v>1.1261261261260973E-3</v>
      </c>
      <c r="E18" s="4">
        <f t="shared" si="0"/>
        <v>2.7650001666666668</v>
      </c>
    </row>
    <row r="19" spans="1:13" x14ac:dyDescent="0.55000000000000004">
      <c r="A19" s="3">
        <v>24.9</v>
      </c>
      <c r="B19" s="3">
        <v>2.0729000000000002</v>
      </c>
      <c r="C19" s="3">
        <v>170.72998999999999</v>
      </c>
      <c r="D19" s="4">
        <f t="shared" si="1"/>
        <v>1.200900900900876E-3</v>
      </c>
      <c r="E19" s="4">
        <f t="shared" si="0"/>
        <v>2.8454998333333332</v>
      </c>
    </row>
    <row r="20" spans="1:13" x14ac:dyDescent="0.55000000000000004">
      <c r="A20" s="3">
        <v>25</v>
      </c>
      <c r="B20" s="3">
        <v>2.0813000000000001</v>
      </c>
      <c r="C20" s="3">
        <v>174.76</v>
      </c>
      <c r="D20" s="4">
        <f t="shared" si="1"/>
        <v>1.2765765765765519E-3</v>
      </c>
      <c r="E20" s="4">
        <f t="shared" si="0"/>
        <v>2.9126666666666665</v>
      </c>
    </row>
    <row r="21" spans="1:13" x14ac:dyDescent="0.55000000000000004">
      <c r="A21" s="3">
        <v>25.1</v>
      </c>
      <c r="B21" s="3">
        <v>2.0895999999999999</v>
      </c>
      <c r="C21" s="3">
        <v>179.59</v>
      </c>
      <c r="D21" s="4">
        <f t="shared" si="1"/>
        <v>1.3513513513513237E-3</v>
      </c>
      <c r="E21" s="4">
        <f t="shared" si="0"/>
        <v>2.9931666666666668</v>
      </c>
    </row>
    <row r="22" spans="1:13" x14ac:dyDescent="0.55000000000000004">
      <c r="A22" s="3">
        <v>25.2</v>
      </c>
      <c r="B22" s="3">
        <v>2.0979000000000001</v>
      </c>
      <c r="C22" s="3">
        <v>183.62001000000001</v>
      </c>
      <c r="D22" s="4">
        <f t="shared" si="1"/>
        <v>1.4261261261260989E-3</v>
      </c>
      <c r="E22" s="4">
        <f t="shared" si="0"/>
        <v>3.0603335</v>
      </c>
    </row>
    <row r="23" spans="1:13" x14ac:dyDescent="0.55000000000000004">
      <c r="A23" s="3">
        <v>25.3</v>
      </c>
      <c r="B23" s="3">
        <v>2.1061999999999999</v>
      </c>
      <c r="C23" s="3">
        <v>188.44999000000001</v>
      </c>
      <c r="D23" s="4">
        <f t="shared" si="1"/>
        <v>1.5009009009008707E-3</v>
      </c>
      <c r="E23" s="4">
        <f t="shared" si="0"/>
        <v>3.1408331666666669</v>
      </c>
    </row>
    <row r="24" spans="1:13" x14ac:dyDescent="0.55000000000000004">
      <c r="A24" s="3">
        <v>25.4</v>
      </c>
      <c r="B24" s="3">
        <v>2.1145999999999998</v>
      </c>
      <c r="C24" s="3">
        <v>192.47</v>
      </c>
      <c r="D24" s="4">
        <f t="shared" si="1"/>
        <v>1.5765765765765466E-3</v>
      </c>
      <c r="E24" s="4">
        <f t="shared" si="0"/>
        <v>3.2078333333333333</v>
      </c>
    </row>
    <row r="25" spans="1:13" x14ac:dyDescent="0.55000000000000004">
      <c r="A25" s="3">
        <v>25.5</v>
      </c>
      <c r="B25" s="3">
        <v>2.1229</v>
      </c>
      <c r="C25" s="3">
        <v>196.5</v>
      </c>
      <c r="D25" s="4">
        <f t="shared" si="1"/>
        <v>1.6513513513513253E-3</v>
      </c>
      <c r="E25" s="4">
        <f t="shared" si="0"/>
        <v>3.2749999999999999</v>
      </c>
    </row>
    <row r="26" spans="1:13" x14ac:dyDescent="0.55000000000000004">
      <c r="A26" s="3">
        <v>25.6</v>
      </c>
      <c r="B26" s="3">
        <v>2.1312000000000002</v>
      </c>
      <c r="C26" s="3">
        <v>201.33</v>
      </c>
      <c r="D26" s="4">
        <f t="shared" si="1"/>
        <v>1.7261261261261006E-3</v>
      </c>
      <c r="E26" s="4">
        <f t="shared" si="0"/>
        <v>3.3555000000000001</v>
      </c>
      <c r="J26" s="5" t="s">
        <v>12</v>
      </c>
      <c r="K26" s="5"/>
      <c r="L26" s="6">
        <f>MAX(E:E)</f>
        <v>10.952666333333333</v>
      </c>
      <c r="M26" s="5" t="s">
        <v>11</v>
      </c>
    </row>
    <row r="27" spans="1:13" x14ac:dyDescent="0.55000000000000004">
      <c r="A27" s="3">
        <v>25.7</v>
      </c>
      <c r="B27" s="3">
        <v>2.1396000000000002</v>
      </c>
      <c r="C27" s="3">
        <v>205.35999000000001</v>
      </c>
      <c r="D27" s="4">
        <f t="shared" si="1"/>
        <v>1.8018018018017765E-3</v>
      </c>
      <c r="E27" s="4">
        <f t="shared" si="0"/>
        <v>3.4226665000000001</v>
      </c>
      <c r="J27" s="5" t="s">
        <v>10</v>
      </c>
      <c r="K27" s="5"/>
      <c r="L27" s="5">
        <v>1.2536936936936909E-2</v>
      </c>
      <c r="M27" s="5" t="s">
        <v>18</v>
      </c>
    </row>
    <row r="28" spans="1:13" x14ac:dyDescent="0.55000000000000004">
      <c r="A28" s="3">
        <v>25.8</v>
      </c>
      <c r="B28" s="3">
        <v>2.1478999999999999</v>
      </c>
      <c r="C28" s="3">
        <v>210.19</v>
      </c>
      <c r="D28" s="4">
        <f t="shared" si="1"/>
        <v>1.8765765765765482E-3</v>
      </c>
      <c r="E28" s="4">
        <f t="shared" si="0"/>
        <v>3.5031666666666665</v>
      </c>
    </row>
    <row r="29" spans="1:13" x14ac:dyDescent="0.55000000000000004">
      <c r="A29" s="3">
        <v>25.9</v>
      </c>
      <c r="B29" s="3">
        <v>2.1562000000000001</v>
      </c>
      <c r="C29" s="3">
        <v>214.22</v>
      </c>
      <c r="D29" s="4">
        <f t="shared" si="1"/>
        <v>1.9513513513513235E-3</v>
      </c>
      <c r="E29" s="4">
        <f t="shared" si="0"/>
        <v>3.5703333333333331</v>
      </c>
    </row>
    <row r="30" spans="1:13" x14ac:dyDescent="0.55000000000000004">
      <c r="A30" s="3">
        <v>26</v>
      </c>
      <c r="B30" s="3">
        <v>2.1646000000000001</v>
      </c>
      <c r="C30" s="3">
        <v>218.25001</v>
      </c>
      <c r="D30" s="4">
        <f t="shared" si="1"/>
        <v>2.0270270270269994E-3</v>
      </c>
      <c r="E30" s="4">
        <f t="shared" si="0"/>
        <v>3.6375001666666669</v>
      </c>
    </row>
    <row r="31" spans="1:13" x14ac:dyDescent="0.55000000000000004">
      <c r="A31" s="3">
        <v>26.1</v>
      </c>
      <c r="B31" s="3">
        <v>2.1728999999999998</v>
      </c>
      <c r="C31" s="3">
        <v>223.07999000000001</v>
      </c>
      <c r="D31" s="4">
        <f t="shared" si="1"/>
        <v>2.1018018018017746E-3</v>
      </c>
      <c r="E31" s="4">
        <f t="shared" si="0"/>
        <v>3.7179998333333333</v>
      </c>
    </row>
    <row r="32" spans="1:13" x14ac:dyDescent="0.55000000000000004">
      <c r="A32" s="3">
        <v>26.2</v>
      </c>
      <c r="B32" s="3">
        <v>2.1812</v>
      </c>
      <c r="C32" s="3">
        <v>227.1</v>
      </c>
      <c r="D32" s="4">
        <f t="shared" si="1"/>
        <v>2.1765765765765499E-3</v>
      </c>
      <c r="E32" s="4">
        <f t="shared" si="0"/>
        <v>3.7849999999999997</v>
      </c>
    </row>
    <row r="33" spans="1:5" x14ac:dyDescent="0.55000000000000004">
      <c r="A33" s="3">
        <v>26.3</v>
      </c>
      <c r="B33" s="3">
        <v>2.1896</v>
      </c>
      <c r="C33" s="3">
        <v>231.13</v>
      </c>
      <c r="D33" s="4">
        <f t="shared" si="1"/>
        <v>2.2522522522522258E-3</v>
      </c>
      <c r="E33" s="4">
        <f t="shared" si="0"/>
        <v>3.8521666666666667</v>
      </c>
    </row>
    <row r="34" spans="1:5" x14ac:dyDescent="0.55000000000000004">
      <c r="A34" s="3">
        <v>26.4</v>
      </c>
      <c r="B34" s="3">
        <v>2.1979000000000002</v>
      </c>
      <c r="C34" s="3">
        <v>235.95999</v>
      </c>
      <c r="D34" s="4">
        <f t="shared" si="1"/>
        <v>2.327027027027001E-3</v>
      </c>
      <c r="E34" s="4">
        <f t="shared" si="0"/>
        <v>3.9326665000000003</v>
      </c>
    </row>
    <row r="35" spans="1:5" x14ac:dyDescent="0.55000000000000004">
      <c r="A35" s="3">
        <v>26.5</v>
      </c>
      <c r="B35" s="3">
        <v>2.2061999999999999</v>
      </c>
      <c r="C35" s="3">
        <v>239.99001000000001</v>
      </c>
      <c r="D35" s="4">
        <f t="shared" si="1"/>
        <v>2.4018018018017728E-3</v>
      </c>
      <c r="E35" s="4">
        <f t="shared" si="0"/>
        <v>3.9998335000000003</v>
      </c>
    </row>
    <row r="36" spans="1:5" x14ac:dyDescent="0.55000000000000004">
      <c r="A36" s="3">
        <v>26.6</v>
      </c>
      <c r="B36" s="3">
        <v>2.2145999999999999</v>
      </c>
      <c r="C36" s="3">
        <v>244.82</v>
      </c>
      <c r="D36" s="4">
        <f t="shared" si="1"/>
        <v>2.4774774774774487E-3</v>
      </c>
      <c r="E36" s="4">
        <f t="shared" si="0"/>
        <v>4.0803333333333329</v>
      </c>
    </row>
    <row r="37" spans="1:5" x14ac:dyDescent="0.55000000000000004">
      <c r="A37" s="3">
        <v>26.7</v>
      </c>
      <c r="B37" s="3">
        <v>2.2229000000000001</v>
      </c>
      <c r="C37" s="3">
        <v>248.84998999999999</v>
      </c>
      <c r="D37" s="4">
        <f t="shared" si="1"/>
        <v>2.5522522522522274E-3</v>
      </c>
      <c r="E37" s="4">
        <f t="shared" si="0"/>
        <v>4.1474998333333328</v>
      </c>
    </row>
    <row r="38" spans="1:5" x14ac:dyDescent="0.55000000000000004">
      <c r="A38" s="3">
        <v>26.8</v>
      </c>
      <c r="B38" s="3">
        <v>2.2311999999999999</v>
      </c>
      <c r="C38" s="3">
        <v>252.88001</v>
      </c>
      <c r="D38" s="4">
        <f t="shared" si="1"/>
        <v>2.6270270270269992E-3</v>
      </c>
      <c r="E38" s="4">
        <f t="shared" si="0"/>
        <v>4.2146668333333333</v>
      </c>
    </row>
    <row r="39" spans="1:5" x14ac:dyDescent="0.55000000000000004">
      <c r="A39" s="3">
        <v>26.9</v>
      </c>
      <c r="B39" s="3">
        <v>2.2395999999999998</v>
      </c>
      <c r="C39" s="3">
        <v>257.70999</v>
      </c>
      <c r="D39" s="4">
        <f t="shared" si="1"/>
        <v>2.7027027027026751E-3</v>
      </c>
      <c r="E39" s="4">
        <f t="shared" si="0"/>
        <v>4.2951664999999997</v>
      </c>
    </row>
    <row r="40" spans="1:5" x14ac:dyDescent="0.55000000000000004">
      <c r="A40" s="3">
        <v>27</v>
      </c>
      <c r="B40" s="3">
        <v>2.2479</v>
      </c>
      <c r="C40" s="3">
        <v>261.73000999999999</v>
      </c>
      <c r="D40" s="4">
        <f t="shared" si="1"/>
        <v>2.7774774774774504E-3</v>
      </c>
      <c r="E40" s="4">
        <f t="shared" si="0"/>
        <v>4.3621668333333332</v>
      </c>
    </row>
    <row r="41" spans="1:5" x14ac:dyDescent="0.55000000000000004">
      <c r="A41" s="3">
        <v>27.1</v>
      </c>
      <c r="B41" s="3">
        <v>2.2562000000000002</v>
      </c>
      <c r="C41" s="3">
        <v>265.76</v>
      </c>
      <c r="D41" s="4">
        <f t="shared" si="1"/>
        <v>2.8522522522522256E-3</v>
      </c>
      <c r="E41" s="4">
        <f t="shared" si="0"/>
        <v>4.4293333333333331</v>
      </c>
    </row>
    <row r="42" spans="1:5" x14ac:dyDescent="0.55000000000000004">
      <c r="A42" s="3">
        <v>27.2</v>
      </c>
      <c r="B42" s="3">
        <v>2.2646000000000002</v>
      </c>
      <c r="C42" s="3">
        <v>270.58999</v>
      </c>
      <c r="D42" s="4">
        <f t="shared" si="1"/>
        <v>2.9279279279279015E-3</v>
      </c>
      <c r="E42" s="4">
        <f t="shared" si="0"/>
        <v>4.5098331666666667</v>
      </c>
    </row>
    <row r="43" spans="1:5" x14ac:dyDescent="0.55000000000000004">
      <c r="A43" s="3">
        <v>27.3</v>
      </c>
      <c r="B43" s="3">
        <v>2.2728999999999999</v>
      </c>
      <c r="C43" s="3">
        <v>274.62000999999998</v>
      </c>
      <c r="D43" s="4">
        <f t="shared" si="1"/>
        <v>3.0027027027026733E-3</v>
      </c>
      <c r="E43" s="4">
        <f t="shared" si="0"/>
        <v>4.5770001666666662</v>
      </c>
    </row>
    <row r="44" spans="1:5" x14ac:dyDescent="0.55000000000000004">
      <c r="A44" s="3">
        <v>27.4</v>
      </c>
      <c r="B44" s="3">
        <v>2.2812000000000001</v>
      </c>
      <c r="C44" s="3">
        <v>278.64999999999998</v>
      </c>
      <c r="D44" s="4">
        <f t="shared" si="1"/>
        <v>3.077477477477452E-3</v>
      </c>
      <c r="E44" s="4">
        <f t="shared" si="0"/>
        <v>4.6441666666666661</v>
      </c>
    </row>
    <row r="45" spans="1:5" x14ac:dyDescent="0.55000000000000004">
      <c r="A45" s="3">
        <v>27.5</v>
      </c>
      <c r="B45" s="3">
        <v>2.2896000000000001</v>
      </c>
      <c r="C45" s="3">
        <v>282.66998999999998</v>
      </c>
      <c r="D45" s="4">
        <f t="shared" si="1"/>
        <v>3.1531531531531279E-3</v>
      </c>
      <c r="E45" s="4">
        <f t="shared" si="0"/>
        <v>4.7111665</v>
      </c>
    </row>
    <row r="46" spans="1:5" x14ac:dyDescent="0.55000000000000004">
      <c r="A46" s="3">
        <v>27.6</v>
      </c>
      <c r="B46" s="3">
        <v>2.2978999999999998</v>
      </c>
      <c r="C46" s="3">
        <v>287.51001000000002</v>
      </c>
      <c r="D46" s="4">
        <f t="shared" si="1"/>
        <v>3.2279279279278997E-3</v>
      </c>
      <c r="E46" s="4">
        <f t="shared" si="0"/>
        <v>4.7918335000000001</v>
      </c>
    </row>
    <row r="47" spans="1:5" x14ac:dyDescent="0.55000000000000004">
      <c r="A47" s="3">
        <v>27.7</v>
      </c>
      <c r="B47" s="3">
        <v>2.3062</v>
      </c>
      <c r="C47" s="3">
        <v>291.52999999999997</v>
      </c>
      <c r="D47" s="4">
        <f t="shared" si="1"/>
        <v>3.3027027027026749E-3</v>
      </c>
      <c r="E47" s="4">
        <f t="shared" si="0"/>
        <v>4.8588333333333331</v>
      </c>
    </row>
    <row r="48" spans="1:5" x14ac:dyDescent="0.55000000000000004">
      <c r="A48" s="3">
        <v>27.8</v>
      </c>
      <c r="B48" s="3">
        <v>2.3144999999999998</v>
      </c>
      <c r="C48" s="3">
        <v>296.36000999999999</v>
      </c>
      <c r="D48" s="4">
        <f t="shared" si="1"/>
        <v>3.3774774774774467E-3</v>
      </c>
      <c r="E48" s="4">
        <f t="shared" si="0"/>
        <v>4.9393335</v>
      </c>
    </row>
    <row r="49" spans="1:5" x14ac:dyDescent="0.55000000000000004">
      <c r="A49" s="3">
        <v>27.9</v>
      </c>
      <c r="B49" s="3">
        <v>2.3229000000000002</v>
      </c>
      <c r="C49" s="3">
        <v>300.39</v>
      </c>
      <c r="D49" s="4">
        <f t="shared" si="1"/>
        <v>3.4531531531531261E-3</v>
      </c>
      <c r="E49" s="4">
        <f t="shared" si="0"/>
        <v>5.0065</v>
      </c>
    </row>
    <row r="50" spans="1:5" x14ac:dyDescent="0.55000000000000004">
      <c r="A50" s="3">
        <v>28</v>
      </c>
      <c r="B50" s="3">
        <v>2.3311999999999999</v>
      </c>
      <c r="C50" s="3">
        <v>304.41998999999998</v>
      </c>
      <c r="D50" s="4">
        <f t="shared" si="1"/>
        <v>3.5279279279279013E-3</v>
      </c>
      <c r="E50" s="4">
        <f t="shared" si="0"/>
        <v>5.0736664999999999</v>
      </c>
    </row>
    <row r="51" spans="1:5" x14ac:dyDescent="0.55000000000000004">
      <c r="A51" s="3">
        <v>28.1</v>
      </c>
      <c r="B51" s="3">
        <v>2.3395999999999999</v>
      </c>
      <c r="C51" s="3">
        <v>308.44000999999997</v>
      </c>
      <c r="D51" s="4">
        <f t="shared" si="1"/>
        <v>3.6036036036035737E-3</v>
      </c>
      <c r="E51" s="4">
        <f t="shared" si="0"/>
        <v>5.1406668333333325</v>
      </c>
    </row>
    <row r="52" spans="1:5" x14ac:dyDescent="0.55000000000000004">
      <c r="A52" s="3">
        <v>28.2</v>
      </c>
      <c r="B52" s="3">
        <v>2.3479000000000001</v>
      </c>
      <c r="C52" s="3">
        <v>312.47000000000003</v>
      </c>
      <c r="D52" s="4">
        <f t="shared" si="1"/>
        <v>3.6783783783783525E-3</v>
      </c>
      <c r="E52" s="4">
        <f t="shared" si="0"/>
        <v>5.2078333333333342</v>
      </c>
    </row>
    <row r="53" spans="1:5" x14ac:dyDescent="0.55000000000000004">
      <c r="A53" s="3">
        <v>28.3</v>
      </c>
      <c r="B53" s="3">
        <v>2.3561999999999999</v>
      </c>
      <c r="C53" s="3">
        <v>317.29998999999998</v>
      </c>
      <c r="D53" s="4">
        <f t="shared" si="1"/>
        <v>3.7531531531531243E-3</v>
      </c>
      <c r="E53" s="4">
        <f t="shared" si="0"/>
        <v>5.288333166666666</v>
      </c>
    </row>
    <row r="54" spans="1:5" x14ac:dyDescent="0.55000000000000004">
      <c r="A54" s="3">
        <v>28.4</v>
      </c>
      <c r="B54" s="3">
        <v>2.3645999999999998</v>
      </c>
      <c r="C54" s="3">
        <v>321.33001000000002</v>
      </c>
      <c r="D54" s="4">
        <f t="shared" si="1"/>
        <v>3.8288288288288001E-3</v>
      </c>
      <c r="E54" s="4">
        <f t="shared" si="0"/>
        <v>5.3555001666666673</v>
      </c>
    </row>
    <row r="55" spans="1:5" x14ac:dyDescent="0.55000000000000004">
      <c r="A55" s="3">
        <v>28.5</v>
      </c>
      <c r="B55" s="3">
        <v>2.3729</v>
      </c>
      <c r="C55" s="3">
        <v>325.36</v>
      </c>
      <c r="D55" s="4">
        <f t="shared" si="1"/>
        <v>3.9036036036035754E-3</v>
      </c>
      <c r="E55" s="4">
        <f t="shared" si="0"/>
        <v>5.4226666666666672</v>
      </c>
    </row>
    <row r="56" spans="1:5" x14ac:dyDescent="0.55000000000000004">
      <c r="A56" s="3">
        <v>28.6</v>
      </c>
      <c r="B56" s="3">
        <v>2.3812000000000002</v>
      </c>
      <c r="C56" s="3">
        <v>329.37999000000002</v>
      </c>
      <c r="D56" s="4">
        <f t="shared" si="1"/>
        <v>3.9783783783783541E-3</v>
      </c>
      <c r="E56" s="4">
        <f t="shared" si="0"/>
        <v>5.4896665000000002</v>
      </c>
    </row>
    <row r="57" spans="1:5" x14ac:dyDescent="0.55000000000000004">
      <c r="A57" s="3">
        <v>28.7</v>
      </c>
      <c r="B57" s="3">
        <v>2.3895</v>
      </c>
      <c r="C57" s="3">
        <v>333.41001</v>
      </c>
      <c r="D57" s="4">
        <f t="shared" si="1"/>
        <v>4.0531531531531259E-3</v>
      </c>
      <c r="E57" s="4">
        <f t="shared" si="0"/>
        <v>5.5568334999999998</v>
      </c>
    </row>
    <row r="58" spans="1:5" x14ac:dyDescent="0.55000000000000004">
      <c r="A58" s="3">
        <v>28.8</v>
      </c>
      <c r="B58" s="3">
        <v>2.3978999999999999</v>
      </c>
      <c r="C58" s="3">
        <v>338.24</v>
      </c>
      <c r="D58" s="4">
        <f t="shared" si="1"/>
        <v>4.1288288288288018E-3</v>
      </c>
      <c r="E58" s="4">
        <f t="shared" si="0"/>
        <v>5.6373333333333333</v>
      </c>
    </row>
    <row r="59" spans="1:5" x14ac:dyDescent="0.55000000000000004">
      <c r="A59" s="3">
        <v>28.9</v>
      </c>
      <c r="B59" s="3">
        <v>2.4062000000000001</v>
      </c>
      <c r="C59" s="3">
        <v>341.45999</v>
      </c>
      <c r="D59" s="4">
        <f t="shared" si="1"/>
        <v>4.203603603603577E-3</v>
      </c>
      <c r="E59" s="4">
        <f t="shared" si="0"/>
        <v>5.6909998333333336</v>
      </c>
    </row>
    <row r="60" spans="1:5" x14ac:dyDescent="0.55000000000000004">
      <c r="A60" s="3">
        <v>29</v>
      </c>
      <c r="B60" s="3">
        <v>2.4146000000000001</v>
      </c>
      <c r="C60" s="3">
        <v>346.30000999999999</v>
      </c>
      <c r="D60" s="4">
        <f t="shared" si="1"/>
        <v>4.2792792792792529E-3</v>
      </c>
      <c r="E60" s="4">
        <f t="shared" si="0"/>
        <v>5.7716668333333327</v>
      </c>
    </row>
    <row r="61" spans="1:5" x14ac:dyDescent="0.55000000000000004">
      <c r="A61" s="3">
        <v>29.1</v>
      </c>
      <c r="B61" s="3">
        <v>2.4228999999999998</v>
      </c>
      <c r="C61" s="3">
        <v>350.31999000000002</v>
      </c>
      <c r="D61" s="4">
        <f t="shared" si="1"/>
        <v>4.3540540540540247E-3</v>
      </c>
      <c r="E61" s="4">
        <f t="shared" si="0"/>
        <v>5.8386665000000004</v>
      </c>
    </row>
    <row r="62" spans="1:5" x14ac:dyDescent="0.55000000000000004">
      <c r="A62" s="3">
        <v>29.2</v>
      </c>
      <c r="B62" s="3">
        <v>2.4312</v>
      </c>
      <c r="C62" s="3">
        <v>355.16001</v>
      </c>
      <c r="D62" s="4">
        <f t="shared" si="1"/>
        <v>4.4288288288288034E-3</v>
      </c>
      <c r="E62" s="4">
        <f t="shared" si="0"/>
        <v>5.9193334999999996</v>
      </c>
    </row>
    <row r="63" spans="1:5" x14ac:dyDescent="0.55000000000000004">
      <c r="A63" s="3">
        <v>29.3</v>
      </c>
      <c r="B63" s="3">
        <v>2.4396</v>
      </c>
      <c r="C63" s="3">
        <v>359.18</v>
      </c>
      <c r="D63" s="4">
        <f t="shared" si="1"/>
        <v>4.5045045045044758E-3</v>
      </c>
      <c r="E63" s="4">
        <f t="shared" si="0"/>
        <v>5.9863333333333335</v>
      </c>
    </row>
    <row r="64" spans="1:5" x14ac:dyDescent="0.55000000000000004">
      <c r="A64" s="3">
        <v>29.4</v>
      </c>
      <c r="B64" s="3">
        <v>2.4479000000000002</v>
      </c>
      <c r="C64" s="3">
        <v>363.20999</v>
      </c>
      <c r="D64" s="4">
        <f t="shared" si="1"/>
        <v>4.5792792792792546E-3</v>
      </c>
      <c r="E64" s="4">
        <f t="shared" si="0"/>
        <v>6.0534998333333334</v>
      </c>
    </row>
    <row r="65" spans="1:5" x14ac:dyDescent="0.55000000000000004">
      <c r="A65" s="3">
        <v>29.5</v>
      </c>
      <c r="B65" s="3">
        <v>2.4561999999999999</v>
      </c>
      <c r="C65" s="3">
        <v>367.24000999999998</v>
      </c>
      <c r="D65" s="4">
        <f t="shared" si="1"/>
        <v>4.6540540540540264E-3</v>
      </c>
      <c r="E65" s="4">
        <f t="shared" si="0"/>
        <v>6.1206668333333329</v>
      </c>
    </row>
    <row r="66" spans="1:5" x14ac:dyDescent="0.55000000000000004">
      <c r="A66" s="3">
        <v>29.6</v>
      </c>
      <c r="B66" s="3">
        <v>2.4645000000000001</v>
      </c>
      <c r="C66" s="3">
        <v>371.26</v>
      </c>
      <c r="D66" s="4">
        <f t="shared" si="1"/>
        <v>4.7288288288288016E-3</v>
      </c>
      <c r="E66" s="4">
        <f t="shared" si="0"/>
        <v>6.1876666666666669</v>
      </c>
    </row>
    <row r="67" spans="1:5" x14ac:dyDescent="0.55000000000000004">
      <c r="A67" s="3">
        <v>29.7</v>
      </c>
      <c r="B67" s="3">
        <v>2.4729000000000001</v>
      </c>
      <c r="C67" s="3">
        <v>376.08999</v>
      </c>
      <c r="D67" s="4">
        <f t="shared" si="1"/>
        <v>4.8045045045044775E-3</v>
      </c>
      <c r="E67" s="4">
        <f t="shared" ref="E67:E130" si="2">C67/$L$4</f>
        <v>6.2681665000000004</v>
      </c>
    </row>
    <row r="68" spans="1:5" x14ac:dyDescent="0.55000000000000004">
      <c r="A68" s="3">
        <v>29.8</v>
      </c>
      <c r="B68" s="3">
        <v>2.4811999999999999</v>
      </c>
      <c r="C68" s="3">
        <v>380.12000999999998</v>
      </c>
      <c r="D68" s="4">
        <f t="shared" ref="D68:D131" si="3">((B68/$L$3))-0.0174738738738739</f>
        <v>4.8792792792792493E-3</v>
      </c>
      <c r="E68" s="4">
        <f t="shared" si="2"/>
        <v>6.3353335</v>
      </c>
    </row>
    <row r="69" spans="1:5" x14ac:dyDescent="0.55000000000000004">
      <c r="A69" s="3">
        <v>29.9</v>
      </c>
      <c r="B69" s="3">
        <v>2.4895999999999998</v>
      </c>
      <c r="C69" s="3">
        <v>384.15</v>
      </c>
      <c r="D69" s="4">
        <f t="shared" si="3"/>
        <v>4.9549549549549252E-3</v>
      </c>
      <c r="E69" s="4">
        <f t="shared" si="2"/>
        <v>6.4024999999999999</v>
      </c>
    </row>
    <row r="70" spans="1:5" x14ac:dyDescent="0.55000000000000004">
      <c r="A70" s="3">
        <v>30</v>
      </c>
      <c r="B70" s="3">
        <v>2.4979</v>
      </c>
      <c r="C70" s="3">
        <v>388.16998999999998</v>
      </c>
      <c r="D70" s="4">
        <f t="shared" si="3"/>
        <v>5.0297297297297039E-3</v>
      </c>
      <c r="E70" s="4">
        <f t="shared" si="2"/>
        <v>6.4694998333333329</v>
      </c>
    </row>
    <row r="71" spans="1:5" x14ac:dyDescent="0.55000000000000004">
      <c r="A71" s="3">
        <v>30.1</v>
      </c>
      <c r="B71" s="3">
        <v>2.5062000000000002</v>
      </c>
      <c r="C71" s="3">
        <v>392.20001000000002</v>
      </c>
      <c r="D71" s="4">
        <f t="shared" si="3"/>
        <v>5.1045045045044792E-3</v>
      </c>
      <c r="E71" s="4">
        <f t="shared" si="2"/>
        <v>6.5366668333333333</v>
      </c>
    </row>
    <row r="72" spans="1:5" x14ac:dyDescent="0.55000000000000004">
      <c r="A72" s="3">
        <v>30.2</v>
      </c>
      <c r="B72" s="3">
        <v>2.5146000000000002</v>
      </c>
      <c r="C72" s="3">
        <v>396.23</v>
      </c>
      <c r="D72" s="4">
        <f t="shared" si="3"/>
        <v>5.180180180180155E-3</v>
      </c>
      <c r="E72" s="4">
        <f t="shared" si="2"/>
        <v>6.6038333333333332</v>
      </c>
    </row>
    <row r="73" spans="1:5" x14ac:dyDescent="0.55000000000000004">
      <c r="A73" s="3">
        <v>30.3</v>
      </c>
      <c r="B73" s="3">
        <v>2.5228999999999999</v>
      </c>
      <c r="C73" s="3">
        <v>401.06000999999998</v>
      </c>
      <c r="D73" s="4">
        <f t="shared" si="3"/>
        <v>5.2549549549549268E-3</v>
      </c>
      <c r="E73" s="4">
        <f t="shared" si="2"/>
        <v>6.6843334999999993</v>
      </c>
    </row>
    <row r="74" spans="1:5" x14ac:dyDescent="0.55000000000000004">
      <c r="A74" s="3">
        <v>30.4</v>
      </c>
      <c r="B74" s="3">
        <v>2.5312000000000001</v>
      </c>
      <c r="C74" s="3">
        <v>405.09</v>
      </c>
      <c r="D74" s="4">
        <f t="shared" si="3"/>
        <v>5.3297297297297021E-3</v>
      </c>
      <c r="E74" s="4">
        <f t="shared" si="2"/>
        <v>6.7514999999999992</v>
      </c>
    </row>
    <row r="75" spans="1:5" x14ac:dyDescent="0.55000000000000004">
      <c r="A75" s="3">
        <v>30.5</v>
      </c>
      <c r="B75" s="3">
        <v>2.5394999999999999</v>
      </c>
      <c r="C75" s="3">
        <v>409.10998999999998</v>
      </c>
      <c r="D75" s="4">
        <f t="shared" si="3"/>
        <v>5.4045045045044773E-3</v>
      </c>
      <c r="E75" s="4">
        <f t="shared" si="2"/>
        <v>6.8184998333333331</v>
      </c>
    </row>
    <row r="76" spans="1:5" x14ac:dyDescent="0.55000000000000004">
      <c r="A76" s="3">
        <v>30.6</v>
      </c>
      <c r="B76" s="3">
        <v>2.5478999999999998</v>
      </c>
      <c r="C76" s="3">
        <v>413.14001000000002</v>
      </c>
      <c r="D76" s="4">
        <f t="shared" si="3"/>
        <v>5.4801801801801497E-3</v>
      </c>
      <c r="E76" s="4">
        <f t="shared" si="2"/>
        <v>6.8856668333333335</v>
      </c>
    </row>
    <row r="77" spans="1:5" x14ac:dyDescent="0.55000000000000004">
      <c r="A77" s="3">
        <v>30.7</v>
      </c>
      <c r="B77" s="3">
        <v>2.5562</v>
      </c>
      <c r="C77" s="3">
        <v>417.17</v>
      </c>
      <c r="D77" s="4">
        <f t="shared" si="3"/>
        <v>5.5549549549549285E-3</v>
      </c>
      <c r="E77" s="4">
        <f t="shared" si="2"/>
        <v>6.9528333333333334</v>
      </c>
    </row>
    <row r="78" spans="1:5" x14ac:dyDescent="0.55000000000000004">
      <c r="A78" s="3">
        <v>30.8</v>
      </c>
      <c r="B78" s="3">
        <v>2.5646</v>
      </c>
      <c r="C78" s="3">
        <v>421.18999000000002</v>
      </c>
      <c r="D78" s="4">
        <f t="shared" si="3"/>
        <v>5.6306306306306043E-3</v>
      </c>
      <c r="E78" s="4">
        <f t="shared" si="2"/>
        <v>7.0198331666666673</v>
      </c>
    </row>
    <row r="79" spans="1:5" x14ac:dyDescent="0.55000000000000004">
      <c r="A79" s="3">
        <v>30.9</v>
      </c>
      <c r="B79" s="3">
        <v>2.5729000000000002</v>
      </c>
      <c r="C79" s="3">
        <v>425.22001</v>
      </c>
      <c r="D79" s="4">
        <f t="shared" si="3"/>
        <v>5.7054054054053796E-3</v>
      </c>
      <c r="E79" s="4">
        <f t="shared" si="2"/>
        <v>7.0870001666666669</v>
      </c>
    </row>
    <row r="80" spans="1:5" x14ac:dyDescent="0.55000000000000004">
      <c r="A80" s="3">
        <v>31</v>
      </c>
      <c r="B80" s="3">
        <v>2.5811999999999999</v>
      </c>
      <c r="C80" s="3">
        <v>429.25</v>
      </c>
      <c r="D80" s="4">
        <f t="shared" si="3"/>
        <v>5.7801801801801514E-3</v>
      </c>
      <c r="E80" s="4">
        <f t="shared" si="2"/>
        <v>7.1541666666666668</v>
      </c>
    </row>
    <row r="81" spans="1:5" x14ac:dyDescent="0.55000000000000004">
      <c r="A81" s="3">
        <v>31.1</v>
      </c>
      <c r="B81" s="3">
        <v>2.5895999999999999</v>
      </c>
      <c r="C81" s="3">
        <v>433.26999000000001</v>
      </c>
      <c r="D81" s="4">
        <f t="shared" si="3"/>
        <v>5.8558558558558273E-3</v>
      </c>
      <c r="E81" s="4">
        <f t="shared" si="2"/>
        <v>7.2211664999999998</v>
      </c>
    </row>
    <row r="82" spans="1:5" x14ac:dyDescent="0.55000000000000004">
      <c r="A82" s="3">
        <v>31.2</v>
      </c>
      <c r="B82" s="3">
        <v>2.5979000000000001</v>
      </c>
      <c r="C82" s="3">
        <v>437.30000999999999</v>
      </c>
      <c r="D82" s="4">
        <f t="shared" si="3"/>
        <v>5.9306306306306025E-3</v>
      </c>
      <c r="E82" s="4">
        <f t="shared" si="2"/>
        <v>7.2883334999999994</v>
      </c>
    </row>
    <row r="83" spans="1:5" x14ac:dyDescent="0.55000000000000004">
      <c r="A83" s="3">
        <v>31.3</v>
      </c>
      <c r="B83" s="3">
        <v>2.6061999999999999</v>
      </c>
      <c r="C83" s="3">
        <v>441.33</v>
      </c>
      <c r="D83" s="4">
        <f t="shared" si="3"/>
        <v>6.0054054054053778E-3</v>
      </c>
      <c r="E83" s="4">
        <f t="shared" si="2"/>
        <v>7.3555000000000001</v>
      </c>
    </row>
    <row r="84" spans="1:5" x14ac:dyDescent="0.55000000000000004">
      <c r="A84" s="3">
        <v>31.4</v>
      </c>
      <c r="B84" s="3">
        <v>2.6145</v>
      </c>
      <c r="C84" s="3">
        <v>445.34998999999999</v>
      </c>
      <c r="D84" s="4">
        <f t="shared" si="3"/>
        <v>6.080180180180153E-3</v>
      </c>
      <c r="E84" s="4">
        <f t="shared" si="2"/>
        <v>7.4224998333333332</v>
      </c>
    </row>
    <row r="85" spans="1:5" x14ac:dyDescent="0.55000000000000004">
      <c r="A85" s="3">
        <v>31.5</v>
      </c>
      <c r="B85" s="3">
        <v>2.6229</v>
      </c>
      <c r="C85" s="3">
        <v>449.38001000000003</v>
      </c>
      <c r="D85" s="4">
        <f t="shared" si="3"/>
        <v>6.1558558558558289E-3</v>
      </c>
      <c r="E85" s="4">
        <f t="shared" si="2"/>
        <v>7.4896668333333336</v>
      </c>
    </row>
    <row r="86" spans="1:5" x14ac:dyDescent="0.55000000000000004">
      <c r="A86" s="3">
        <v>31.6</v>
      </c>
      <c r="B86" s="3">
        <v>2.6312000000000002</v>
      </c>
      <c r="C86" s="3">
        <v>452.6</v>
      </c>
      <c r="D86" s="4">
        <f t="shared" si="3"/>
        <v>6.2306306306306042E-3</v>
      </c>
      <c r="E86" s="4">
        <f t="shared" si="2"/>
        <v>7.5433333333333339</v>
      </c>
    </row>
    <row r="87" spans="1:5" x14ac:dyDescent="0.55000000000000004">
      <c r="A87" s="3">
        <v>31.7</v>
      </c>
      <c r="B87" s="3">
        <v>2.6396000000000002</v>
      </c>
      <c r="C87" s="3">
        <v>456.62999000000002</v>
      </c>
      <c r="D87" s="4">
        <f t="shared" si="3"/>
        <v>6.3063063063062801E-3</v>
      </c>
      <c r="E87" s="4">
        <f t="shared" si="2"/>
        <v>7.6104998333333338</v>
      </c>
    </row>
    <row r="88" spans="1:5" x14ac:dyDescent="0.55000000000000004">
      <c r="A88" s="3">
        <v>31.8</v>
      </c>
      <c r="B88" s="3">
        <v>2.6478999999999999</v>
      </c>
      <c r="C88" s="3">
        <v>460.66001</v>
      </c>
      <c r="D88" s="4">
        <f t="shared" si="3"/>
        <v>6.3810810810810518E-3</v>
      </c>
      <c r="E88" s="4">
        <f t="shared" si="2"/>
        <v>7.6776668333333333</v>
      </c>
    </row>
    <row r="89" spans="1:5" x14ac:dyDescent="0.55000000000000004">
      <c r="A89" s="3">
        <v>31.9</v>
      </c>
      <c r="B89" s="3">
        <v>2.6562000000000001</v>
      </c>
      <c r="C89" s="3">
        <v>464.68</v>
      </c>
      <c r="D89" s="4">
        <f t="shared" si="3"/>
        <v>6.4558558558558306E-3</v>
      </c>
      <c r="E89" s="4">
        <f t="shared" si="2"/>
        <v>7.7446666666666664</v>
      </c>
    </row>
    <row r="90" spans="1:5" x14ac:dyDescent="0.55000000000000004">
      <c r="A90" s="3">
        <v>32</v>
      </c>
      <c r="B90" s="3">
        <v>2.6646000000000001</v>
      </c>
      <c r="C90" s="3">
        <v>467.89999</v>
      </c>
      <c r="D90" s="4">
        <f t="shared" si="3"/>
        <v>6.5315315315315065E-3</v>
      </c>
      <c r="E90" s="4">
        <f t="shared" si="2"/>
        <v>7.7983331666666666</v>
      </c>
    </row>
    <row r="91" spans="1:5" x14ac:dyDescent="0.55000000000000004">
      <c r="A91" s="3">
        <v>32.1</v>
      </c>
      <c r="B91" s="3">
        <v>2.6728999999999998</v>
      </c>
      <c r="C91" s="3">
        <v>471.92998</v>
      </c>
      <c r="D91" s="4">
        <f t="shared" si="3"/>
        <v>6.6063063063062782E-3</v>
      </c>
      <c r="E91" s="4">
        <f t="shared" si="2"/>
        <v>7.8654996666666666</v>
      </c>
    </row>
    <row r="92" spans="1:5" x14ac:dyDescent="0.55000000000000004">
      <c r="A92" s="3">
        <v>32.200000000000003</v>
      </c>
      <c r="B92" s="3">
        <v>2.6812</v>
      </c>
      <c r="C92" s="3">
        <v>475.96</v>
      </c>
      <c r="D92" s="4">
        <f t="shared" si="3"/>
        <v>6.6810810810810535E-3</v>
      </c>
      <c r="E92" s="4">
        <f t="shared" si="2"/>
        <v>7.9326666666666661</v>
      </c>
    </row>
    <row r="93" spans="1:5" x14ac:dyDescent="0.55000000000000004">
      <c r="A93" s="3">
        <v>32.299999999999997</v>
      </c>
      <c r="B93" s="3">
        <v>2.6894999999999998</v>
      </c>
      <c r="C93" s="3">
        <v>479.17998999999998</v>
      </c>
      <c r="D93" s="4">
        <f t="shared" si="3"/>
        <v>6.7558558558558253E-3</v>
      </c>
      <c r="E93" s="4">
        <f t="shared" si="2"/>
        <v>7.9863331666666664</v>
      </c>
    </row>
    <row r="94" spans="1:5" x14ac:dyDescent="0.55000000000000004">
      <c r="A94" s="3">
        <v>32.4</v>
      </c>
      <c r="B94" s="3">
        <v>2.6979000000000002</v>
      </c>
      <c r="C94" s="3">
        <v>483.21001000000001</v>
      </c>
      <c r="D94" s="4">
        <f t="shared" si="3"/>
        <v>6.8315315315315046E-3</v>
      </c>
      <c r="E94" s="4">
        <f t="shared" si="2"/>
        <v>8.0535001666666677</v>
      </c>
    </row>
    <row r="95" spans="1:5" x14ac:dyDescent="0.55000000000000004">
      <c r="A95" s="3">
        <v>32.5</v>
      </c>
      <c r="B95" s="3">
        <v>2.7061999999999999</v>
      </c>
      <c r="C95" s="3">
        <v>487.22996999999998</v>
      </c>
      <c r="D95" s="4">
        <f t="shared" si="3"/>
        <v>6.9063063063062799E-3</v>
      </c>
      <c r="E95" s="4">
        <f t="shared" si="2"/>
        <v>8.1204994999999993</v>
      </c>
    </row>
    <row r="96" spans="1:5" x14ac:dyDescent="0.55000000000000004">
      <c r="A96" s="3">
        <v>32.6</v>
      </c>
      <c r="B96" s="3">
        <v>2.7145999999999999</v>
      </c>
      <c r="C96" s="3">
        <v>491.25999000000002</v>
      </c>
      <c r="D96" s="4">
        <f t="shared" si="3"/>
        <v>6.9819819819819523E-3</v>
      </c>
      <c r="E96" s="4">
        <f t="shared" si="2"/>
        <v>8.1876665000000006</v>
      </c>
    </row>
    <row r="97" spans="1:5" x14ac:dyDescent="0.55000000000000004">
      <c r="A97" s="3">
        <v>32.700000000000003</v>
      </c>
      <c r="B97" s="3">
        <v>2.7229000000000001</v>
      </c>
      <c r="C97" s="3">
        <v>494.47998000000001</v>
      </c>
      <c r="D97" s="4">
        <f t="shared" si="3"/>
        <v>7.056756756756731E-3</v>
      </c>
      <c r="E97" s="4">
        <f t="shared" si="2"/>
        <v>8.2413330000000009</v>
      </c>
    </row>
    <row r="98" spans="1:5" x14ac:dyDescent="0.55000000000000004">
      <c r="A98" s="3">
        <v>32.799999999999997</v>
      </c>
      <c r="B98" s="3">
        <v>2.7311999999999999</v>
      </c>
      <c r="C98" s="3">
        <v>497.69997999999998</v>
      </c>
      <c r="D98" s="4">
        <f t="shared" si="3"/>
        <v>7.1315315315315028E-3</v>
      </c>
      <c r="E98" s="4">
        <f t="shared" si="2"/>
        <v>8.2949996666666657</v>
      </c>
    </row>
    <row r="99" spans="1:5" x14ac:dyDescent="0.55000000000000004">
      <c r="A99" s="3">
        <v>32.9</v>
      </c>
      <c r="B99" s="3">
        <v>2.7395999999999998</v>
      </c>
      <c r="C99" s="3">
        <v>501.73</v>
      </c>
      <c r="D99" s="4">
        <f t="shared" si="3"/>
        <v>7.2072072072071787E-3</v>
      </c>
      <c r="E99" s="4">
        <f t="shared" si="2"/>
        <v>8.362166666666667</v>
      </c>
    </row>
    <row r="100" spans="1:5" x14ac:dyDescent="0.55000000000000004">
      <c r="A100" s="3">
        <v>33</v>
      </c>
      <c r="B100" s="3">
        <v>2.7479</v>
      </c>
      <c r="C100" s="3">
        <v>504.94999000000001</v>
      </c>
      <c r="D100" s="4">
        <f t="shared" si="3"/>
        <v>7.281981981981954E-3</v>
      </c>
      <c r="E100" s="4">
        <f t="shared" si="2"/>
        <v>8.4158331666666673</v>
      </c>
    </row>
    <row r="101" spans="1:5" x14ac:dyDescent="0.55000000000000004">
      <c r="A101" s="3">
        <v>33.1</v>
      </c>
      <c r="B101" s="3">
        <v>2.7562000000000002</v>
      </c>
      <c r="C101" s="3">
        <v>508.98000999999999</v>
      </c>
      <c r="D101" s="4">
        <f t="shared" si="3"/>
        <v>7.3567567567567327E-3</v>
      </c>
      <c r="E101" s="4">
        <f t="shared" si="2"/>
        <v>8.4830001666666668</v>
      </c>
    </row>
    <row r="102" spans="1:5" x14ac:dyDescent="0.55000000000000004">
      <c r="A102" s="3">
        <v>33.200000000000003</v>
      </c>
      <c r="B102" s="3">
        <v>2.7645</v>
      </c>
      <c r="C102" s="3">
        <v>513.00001999999995</v>
      </c>
      <c r="D102" s="4">
        <f t="shared" si="3"/>
        <v>7.4315315315315045E-3</v>
      </c>
      <c r="E102" s="4">
        <f t="shared" si="2"/>
        <v>8.5500003333333332</v>
      </c>
    </row>
    <row r="103" spans="1:5" x14ac:dyDescent="0.55000000000000004">
      <c r="A103" s="3">
        <v>33.299999999999997</v>
      </c>
      <c r="B103" s="3">
        <v>2.7728999999999999</v>
      </c>
      <c r="C103" s="3">
        <v>516.23001999999997</v>
      </c>
      <c r="D103" s="4">
        <f t="shared" si="3"/>
        <v>7.5072072072071803E-3</v>
      </c>
      <c r="E103" s="4">
        <f t="shared" si="2"/>
        <v>8.6038336666666666</v>
      </c>
    </row>
    <row r="104" spans="1:5" x14ac:dyDescent="0.55000000000000004">
      <c r="A104" s="3">
        <v>33.4</v>
      </c>
      <c r="B104" s="3">
        <v>2.7812000000000001</v>
      </c>
      <c r="C104" s="3">
        <v>519.45001000000002</v>
      </c>
      <c r="D104" s="4">
        <f t="shared" si="3"/>
        <v>7.5819819819819556E-3</v>
      </c>
      <c r="E104" s="4">
        <f t="shared" si="2"/>
        <v>8.6575001666666669</v>
      </c>
    </row>
    <row r="105" spans="1:5" x14ac:dyDescent="0.55000000000000004">
      <c r="A105" s="3">
        <v>33.5</v>
      </c>
      <c r="B105" s="3">
        <v>2.7896000000000001</v>
      </c>
      <c r="C105" s="3">
        <v>522.66999999999996</v>
      </c>
      <c r="D105" s="4">
        <f t="shared" si="3"/>
        <v>7.6576576576576315E-3</v>
      </c>
      <c r="E105" s="4">
        <f t="shared" si="2"/>
        <v>8.7111666666666654</v>
      </c>
    </row>
    <row r="106" spans="1:5" x14ac:dyDescent="0.55000000000000004">
      <c r="A106" s="3">
        <v>33.6</v>
      </c>
      <c r="B106" s="3">
        <v>2.7978999999999998</v>
      </c>
      <c r="C106" s="3">
        <v>526.70001999999999</v>
      </c>
      <c r="D106" s="4">
        <f t="shared" si="3"/>
        <v>7.7324324324324033E-3</v>
      </c>
      <c r="E106" s="4">
        <f t="shared" si="2"/>
        <v>8.7783336666666667</v>
      </c>
    </row>
    <row r="107" spans="1:5" x14ac:dyDescent="0.55000000000000004">
      <c r="A107" s="3">
        <v>33.700000000000003</v>
      </c>
      <c r="B107" s="3">
        <v>2.8062</v>
      </c>
      <c r="C107" s="3">
        <v>529.92001000000005</v>
      </c>
      <c r="D107" s="4">
        <f t="shared" si="3"/>
        <v>7.8072072072071785E-3</v>
      </c>
      <c r="E107" s="4">
        <f t="shared" si="2"/>
        <v>8.832000166666667</v>
      </c>
    </row>
    <row r="108" spans="1:5" x14ac:dyDescent="0.55000000000000004">
      <c r="A108" s="3">
        <v>33.799999999999997</v>
      </c>
      <c r="B108" s="3">
        <v>2.8146</v>
      </c>
      <c r="C108" s="3">
        <v>533.93997000000002</v>
      </c>
      <c r="D108" s="4">
        <f t="shared" si="3"/>
        <v>7.8828828828828544E-3</v>
      </c>
      <c r="E108" s="4">
        <f t="shared" si="2"/>
        <v>8.8989995000000004</v>
      </c>
    </row>
    <row r="109" spans="1:5" x14ac:dyDescent="0.55000000000000004">
      <c r="A109" s="3">
        <v>33.9</v>
      </c>
      <c r="B109" s="3">
        <v>2.8229000000000002</v>
      </c>
      <c r="C109" s="3">
        <v>537.16002000000003</v>
      </c>
      <c r="D109" s="4">
        <f t="shared" si="3"/>
        <v>7.9576576576576331E-3</v>
      </c>
      <c r="E109" s="4">
        <f t="shared" si="2"/>
        <v>8.9526669999999999</v>
      </c>
    </row>
    <row r="110" spans="1:5" x14ac:dyDescent="0.55000000000000004">
      <c r="A110" s="3">
        <v>34</v>
      </c>
      <c r="B110" s="3">
        <v>2.8311999999999999</v>
      </c>
      <c r="C110" s="3">
        <v>540.39000999999996</v>
      </c>
      <c r="D110" s="4">
        <f t="shared" si="3"/>
        <v>8.0324324324324049E-3</v>
      </c>
      <c r="E110" s="4">
        <f t="shared" si="2"/>
        <v>9.0065001666666653</v>
      </c>
    </row>
    <row r="111" spans="1:5" x14ac:dyDescent="0.55000000000000004">
      <c r="A111" s="3">
        <v>34.1</v>
      </c>
      <c r="B111" s="3">
        <v>2.8395000000000001</v>
      </c>
      <c r="C111" s="3">
        <v>543.61000999999999</v>
      </c>
      <c r="D111" s="4">
        <f t="shared" si="3"/>
        <v>8.1072072072071802E-3</v>
      </c>
      <c r="E111" s="4">
        <f t="shared" si="2"/>
        <v>9.0601668333333336</v>
      </c>
    </row>
    <row r="112" spans="1:5" x14ac:dyDescent="0.55000000000000004">
      <c r="A112" s="3">
        <v>34.200000000000003</v>
      </c>
      <c r="B112" s="3">
        <v>2.8479000000000001</v>
      </c>
      <c r="C112" s="3">
        <v>546.83000000000004</v>
      </c>
      <c r="D112" s="4">
        <f t="shared" si="3"/>
        <v>8.1828828828828561E-3</v>
      </c>
      <c r="E112" s="4">
        <f t="shared" si="2"/>
        <v>9.1138333333333339</v>
      </c>
    </row>
    <row r="113" spans="1:5" x14ac:dyDescent="0.55000000000000004">
      <c r="A113" s="3">
        <v>34.299999999999997</v>
      </c>
      <c r="B113" s="3">
        <v>2.8561999999999999</v>
      </c>
      <c r="C113" s="3">
        <v>550.04998999999998</v>
      </c>
      <c r="D113" s="4">
        <f t="shared" si="3"/>
        <v>8.2576576576576279E-3</v>
      </c>
      <c r="E113" s="4">
        <f t="shared" si="2"/>
        <v>9.1674998333333324</v>
      </c>
    </row>
    <row r="114" spans="1:5" x14ac:dyDescent="0.55000000000000004">
      <c r="A114" s="3">
        <v>34.4</v>
      </c>
      <c r="B114" s="3">
        <v>2.8645999999999998</v>
      </c>
      <c r="C114" s="3">
        <v>553.26998000000003</v>
      </c>
      <c r="D114" s="4">
        <f t="shared" si="3"/>
        <v>8.3333333333333037E-3</v>
      </c>
      <c r="E114" s="4">
        <f t="shared" si="2"/>
        <v>9.2211663333333345</v>
      </c>
    </row>
    <row r="115" spans="1:5" x14ac:dyDescent="0.55000000000000004">
      <c r="A115" s="3">
        <v>34.5</v>
      </c>
      <c r="B115" s="3">
        <v>2.8729</v>
      </c>
      <c r="C115" s="3">
        <v>556.48996999999997</v>
      </c>
      <c r="D115" s="4">
        <f t="shared" si="3"/>
        <v>8.4081081081080825E-3</v>
      </c>
      <c r="E115" s="4">
        <f t="shared" si="2"/>
        <v>9.274832833333333</v>
      </c>
    </row>
    <row r="116" spans="1:5" x14ac:dyDescent="0.55000000000000004">
      <c r="A116" s="3">
        <v>34.6</v>
      </c>
      <c r="B116" s="3">
        <v>2.8812000000000002</v>
      </c>
      <c r="C116" s="3">
        <v>559.71001999999999</v>
      </c>
      <c r="D116" s="4">
        <f t="shared" si="3"/>
        <v>8.4828828828828577E-3</v>
      </c>
      <c r="E116" s="4">
        <f t="shared" si="2"/>
        <v>9.3285003333333325</v>
      </c>
    </row>
    <row r="117" spans="1:5" x14ac:dyDescent="0.55000000000000004">
      <c r="A117" s="3">
        <v>34.700000000000003</v>
      </c>
      <c r="B117" s="3">
        <v>2.8896000000000002</v>
      </c>
      <c r="C117" s="3">
        <v>562.94002</v>
      </c>
      <c r="D117" s="4">
        <f t="shared" si="3"/>
        <v>8.5585585585585336E-3</v>
      </c>
      <c r="E117" s="4">
        <f t="shared" si="2"/>
        <v>9.3823336666666659</v>
      </c>
    </row>
    <row r="118" spans="1:5" x14ac:dyDescent="0.55000000000000004">
      <c r="A118" s="3">
        <v>34.799999999999997</v>
      </c>
      <c r="B118" s="3">
        <v>2.8978999999999999</v>
      </c>
      <c r="C118" s="3">
        <v>566.16001000000006</v>
      </c>
      <c r="D118" s="4">
        <f t="shared" si="3"/>
        <v>8.6333333333333054E-3</v>
      </c>
      <c r="E118" s="4">
        <f t="shared" si="2"/>
        <v>9.436000166666668</v>
      </c>
    </row>
    <row r="119" spans="1:5" x14ac:dyDescent="0.55000000000000004">
      <c r="A119" s="3">
        <v>34.9</v>
      </c>
      <c r="B119" s="3">
        <v>2.9062000000000001</v>
      </c>
      <c r="C119" s="3">
        <v>569.38</v>
      </c>
      <c r="D119" s="4">
        <f t="shared" si="3"/>
        <v>8.7081081081080806E-3</v>
      </c>
      <c r="E119" s="4">
        <f t="shared" si="2"/>
        <v>9.4896666666666665</v>
      </c>
    </row>
    <row r="120" spans="1:5" x14ac:dyDescent="0.55000000000000004">
      <c r="A120" s="3">
        <v>35</v>
      </c>
      <c r="B120" s="3">
        <v>2.9144999999999999</v>
      </c>
      <c r="C120" s="3">
        <v>572.59999000000005</v>
      </c>
      <c r="D120" s="4">
        <f t="shared" si="3"/>
        <v>8.7828828828828559E-3</v>
      </c>
      <c r="E120" s="4">
        <f t="shared" si="2"/>
        <v>9.5433331666666668</v>
      </c>
    </row>
    <row r="121" spans="1:5" x14ac:dyDescent="0.55000000000000004">
      <c r="A121" s="3">
        <v>35.1</v>
      </c>
      <c r="B121" s="3">
        <v>2.9228999999999998</v>
      </c>
      <c r="C121" s="3">
        <v>575.81997999999999</v>
      </c>
      <c r="D121" s="4">
        <f t="shared" si="3"/>
        <v>8.8585585585585283E-3</v>
      </c>
      <c r="E121" s="4">
        <f t="shared" si="2"/>
        <v>9.596999666666667</v>
      </c>
    </row>
    <row r="122" spans="1:5" x14ac:dyDescent="0.55000000000000004">
      <c r="A122" s="3">
        <v>35.200000000000003</v>
      </c>
      <c r="B122" s="3">
        <v>2.9312</v>
      </c>
      <c r="C122" s="3">
        <v>578.24000999999998</v>
      </c>
      <c r="D122" s="4">
        <f t="shared" si="3"/>
        <v>8.933333333333307E-3</v>
      </c>
      <c r="E122" s="4">
        <f t="shared" si="2"/>
        <v>9.6373335000000004</v>
      </c>
    </row>
    <row r="123" spans="1:5" x14ac:dyDescent="0.55000000000000004">
      <c r="A123" s="3">
        <v>35.299999999999997</v>
      </c>
      <c r="B123" s="3">
        <v>2.9396</v>
      </c>
      <c r="C123" s="3">
        <v>581.46</v>
      </c>
      <c r="D123" s="4">
        <f t="shared" si="3"/>
        <v>9.0090090090089829E-3</v>
      </c>
      <c r="E123" s="4">
        <f t="shared" si="2"/>
        <v>9.6910000000000007</v>
      </c>
    </row>
    <row r="124" spans="1:5" x14ac:dyDescent="0.55000000000000004">
      <c r="A124" s="3">
        <v>35.4</v>
      </c>
      <c r="B124" s="3">
        <v>2.9479000000000002</v>
      </c>
      <c r="C124" s="3">
        <v>584.67998999999998</v>
      </c>
      <c r="D124" s="4">
        <f t="shared" si="3"/>
        <v>9.0837837837837582E-3</v>
      </c>
      <c r="E124" s="4">
        <f t="shared" si="2"/>
        <v>9.7446664999999992</v>
      </c>
    </row>
    <row r="125" spans="1:5" x14ac:dyDescent="0.55000000000000004">
      <c r="A125" s="3">
        <v>35.5</v>
      </c>
      <c r="B125" s="3">
        <v>2.9561999999999999</v>
      </c>
      <c r="C125" s="3">
        <v>587.10001</v>
      </c>
      <c r="D125" s="4">
        <f t="shared" si="3"/>
        <v>9.15855855855853E-3</v>
      </c>
      <c r="E125" s="4">
        <f t="shared" si="2"/>
        <v>9.7850001666666664</v>
      </c>
    </row>
    <row r="126" spans="1:5" x14ac:dyDescent="0.55000000000000004">
      <c r="A126" s="3">
        <v>35.6</v>
      </c>
      <c r="B126" s="3">
        <v>2.9645999999999999</v>
      </c>
      <c r="C126" s="3">
        <v>590.32001000000002</v>
      </c>
      <c r="D126" s="4">
        <f t="shared" si="3"/>
        <v>9.2342342342342058E-3</v>
      </c>
      <c r="E126" s="4">
        <f t="shared" si="2"/>
        <v>9.8386668333333329</v>
      </c>
    </row>
    <row r="127" spans="1:5" x14ac:dyDescent="0.55000000000000004">
      <c r="A127" s="3">
        <v>35.700000000000003</v>
      </c>
      <c r="B127" s="3">
        <v>2.9729000000000001</v>
      </c>
      <c r="C127" s="3">
        <v>592.73003000000006</v>
      </c>
      <c r="D127" s="4">
        <f t="shared" si="3"/>
        <v>9.3090090090089811E-3</v>
      </c>
      <c r="E127" s="4">
        <f t="shared" si="2"/>
        <v>9.878833833333335</v>
      </c>
    </row>
    <row r="128" spans="1:5" x14ac:dyDescent="0.55000000000000004">
      <c r="A128" s="3">
        <v>35.799999999999997</v>
      </c>
      <c r="B128" s="3">
        <v>2.9811999999999999</v>
      </c>
      <c r="C128" s="3">
        <v>595.96001999999999</v>
      </c>
      <c r="D128" s="4">
        <f t="shared" si="3"/>
        <v>9.3837837837837564E-3</v>
      </c>
      <c r="E128" s="4">
        <f t="shared" si="2"/>
        <v>9.9326670000000004</v>
      </c>
    </row>
    <row r="129" spans="1:5" x14ac:dyDescent="0.55000000000000004">
      <c r="A129" s="3">
        <v>35.9</v>
      </c>
      <c r="B129" s="3">
        <v>2.9895</v>
      </c>
      <c r="C129" s="3">
        <v>598.36999000000003</v>
      </c>
      <c r="D129" s="4">
        <f t="shared" si="3"/>
        <v>9.4585585585585316E-3</v>
      </c>
      <c r="E129" s="4">
        <f t="shared" si="2"/>
        <v>9.9728331666666676</v>
      </c>
    </row>
    <row r="130" spans="1:5" x14ac:dyDescent="0.55000000000000004">
      <c r="A130" s="3">
        <v>36</v>
      </c>
      <c r="B130" s="3">
        <v>2.9979</v>
      </c>
      <c r="C130" s="3">
        <v>600.79001000000005</v>
      </c>
      <c r="D130" s="4">
        <f t="shared" si="3"/>
        <v>9.5342342342342075E-3</v>
      </c>
      <c r="E130" s="4">
        <f t="shared" si="2"/>
        <v>10.013166833333335</v>
      </c>
    </row>
    <row r="131" spans="1:5" x14ac:dyDescent="0.55000000000000004">
      <c r="A131" s="3">
        <v>36.1</v>
      </c>
      <c r="B131" s="3">
        <v>3.0062000000000002</v>
      </c>
      <c r="C131" s="3">
        <v>603.19997000000001</v>
      </c>
      <c r="D131" s="4">
        <f t="shared" si="3"/>
        <v>9.6090090090089827E-3</v>
      </c>
      <c r="E131" s="4">
        <f t="shared" ref="E131:E194" si="4">C131/$L$4</f>
        <v>10.053332833333334</v>
      </c>
    </row>
    <row r="132" spans="1:5" x14ac:dyDescent="0.55000000000000004">
      <c r="A132" s="3">
        <v>36.200000000000003</v>
      </c>
      <c r="B132" s="3">
        <v>3.0145</v>
      </c>
      <c r="C132" s="3">
        <v>606.43002000000001</v>
      </c>
      <c r="D132" s="4">
        <f t="shared" ref="D132:D195" si="5">((B132/$L$3))-0.0174738738738739</f>
        <v>9.6837837837837545E-3</v>
      </c>
      <c r="E132" s="4">
        <f t="shared" si="4"/>
        <v>10.107167</v>
      </c>
    </row>
    <row r="133" spans="1:5" x14ac:dyDescent="0.55000000000000004">
      <c r="A133" s="3">
        <v>36.299999999999997</v>
      </c>
      <c r="B133" s="3">
        <v>3.0228999999999999</v>
      </c>
      <c r="C133" s="3">
        <v>608.83998999999994</v>
      </c>
      <c r="D133" s="4">
        <f t="shared" si="5"/>
        <v>9.7594594594594304E-3</v>
      </c>
      <c r="E133" s="4">
        <f t="shared" si="4"/>
        <v>10.147333166666666</v>
      </c>
    </row>
    <row r="134" spans="1:5" x14ac:dyDescent="0.55000000000000004">
      <c r="A134" s="3">
        <v>36.4</v>
      </c>
      <c r="B134" s="3">
        <v>3.0312000000000001</v>
      </c>
      <c r="C134" s="3">
        <v>611.26000999999997</v>
      </c>
      <c r="D134" s="4">
        <f t="shared" si="5"/>
        <v>9.8342342342342091E-3</v>
      </c>
      <c r="E134" s="4">
        <f t="shared" si="4"/>
        <v>10.187666833333333</v>
      </c>
    </row>
    <row r="135" spans="1:5" x14ac:dyDescent="0.55000000000000004">
      <c r="A135" s="3">
        <v>36.5</v>
      </c>
      <c r="B135" s="3">
        <v>3.0396000000000001</v>
      </c>
      <c r="C135" s="3">
        <v>613.66998000000001</v>
      </c>
      <c r="D135" s="4">
        <f t="shared" si="5"/>
        <v>9.909909909909885E-3</v>
      </c>
      <c r="E135" s="4">
        <f t="shared" si="4"/>
        <v>10.227833</v>
      </c>
    </row>
    <row r="136" spans="1:5" x14ac:dyDescent="0.55000000000000004">
      <c r="A136" s="3">
        <v>36.6</v>
      </c>
      <c r="B136" s="3">
        <v>3.0478999999999998</v>
      </c>
      <c r="C136" s="3">
        <v>616.09</v>
      </c>
      <c r="D136" s="4">
        <f t="shared" si="5"/>
        <v>9.9846846846846568E-3</v>
      </c>
      <c r="E136" s="4">
        <f t="shared" si="4"/>
        <v>10.268166666666668</v>
      </c>
    </row>
    <row r="137" spans="1:5" x14ac:dyDescent="0.55000000000000004">
      <c r="A137" s="3">
        <v>36.700000000000003</v>
      </c>
      <c r="B137" s="3">
        <v>3.0562</v>
      </c>
      <c r="C137" s="3">
        <v>617.70000000000005</v>
      </c>
      <c r="D137" s="4">
        <f t="shared" si="5"/>
        <v>1.0059459459459432E-2</v>
      </c>
      <c r="E137" s="4">
        <f t="shared" si="4"/>
        <v>10.295</v>
      </c>
    </row>
    <row r="138" spans="1:5" x14ac:dyDescent="0.55000000000000004">
      <c r="A138" s="3">
        <v>36.799999999999997</v>
      </c>
      <c r="B138" s="3">
        <v>3.0644999999999998</v>
      </c>
      <c r="C138" s="3">
        <v>619.30998999999997</v>
      </c>
      <c r="D138" s="4">
        <f t="shared" si="5"/>
        <v>1.0134234234234204E-2</v>
      </c>
      <c r="E138" s="4">
        <f t="shared" si="4"/>
        <v>10.321833166666666</v>
      </c>
    </row>
    <row r="139" spans="1:5" x14ac:dyDescent="0.55000000000000004">
      <c r="A139" s="3">
        <v>36.9</v>
      </c>
      <c r="B139" s="3">
        <v>3.0729000000000002</v>
      </c>
      <c r="C139" s="3">
        <v>621.73000999999999</v>
      </c>
      <c r="D139" s="4">
        <f t="shared" si="5"/>
        <v>1.0209909909909883E-2</v>
      </c>
      <c r="E139" s="4">
        <f t="shared" si="4"/>
        <v>10.362166833333333</v>
      </c>
    </row>
    <row r="140" spans="1:5" x14ac:dyDescent="0.55000000000000004">
      <c r="A140" s="3">
        <v>37</v>
      </c>
      <c r="B140" s="3">
        <v>3.0811999999999999</v>
      </c>
      <c r="C140" s="3">
        <v>624.13998000000004</v>
      </c>
      <c r="D140" s="4">
        <f t="shared" si="5"/>
        <v>1.0284684684684658E-2</v>
      </c>
      <c r="E140" s="4">
        <f t="shared" si="4"/>
        <v>10.402333</v>
      </c>
    </row>
    <row r="141" spans="1:5" x14ac:dyDescent="0.55000000000000004">
      <c r="A141" s="3">
        <v>37.1</v>
      </c>
      <c r="B141" s="3">
        <v>3.0895000000000001</v>
      </c>
      <c r="C141" s="3">
        <v>625.74998000000005</v>
      </c>
      <c r="D141" s="4">
        <f t="shared" si="5"/>
        <v>1.0359459459459434E-2</v>
      </c>
      <c r="E141" s="4">
        <f t="shared" si="4"/>
        <v>10.429166333333335</v>
      </c>
    </row>
    <row r="142" spans="1:5" x14ac:dyDescent="0.55000000000000004">
      <c r="A142" s="3">
        <v>37.200000000000003</v>
      </c>
      <c r="B142" s="3">
        <v>3.0979000000000001</v>
      </c>
      <c r="C142" s="3">
        <v>628.16999999999996</v>
      </c>
      <c r="D142" s="4">
        <f t="shared" si="5"/>
        <v>1.043513513513511E-2</v>
      </c>
      <c r="E142" s="4">
        <f t="shared" si="4"/>
        <v>10.4695</v>
      </c>
    </row>
    <row r="143" spans="1:5" x14ac:dyDescent="0.55000000000000004">
      <c r="A143" s="3">
        <v>37.299999999999997</v>
      </c>
      <c r="B143" s="3">
        <v>3.1061999999999999</v>
      </c>
      <c r="C143" s="3">
        <v>629.77999</v>
      </c>
      <c r="D143" s="4">
        <f t="shared" si="5"/>
        <v>1.0509909909909881E-2</v>
      </c>
      <c r="E143" s="4">
        <f t="shared" si="4"/>
        <v>10.496333166666666</v>
      </c>
    </row>
    <row r="144" spans="1:5" x14ac:dyDescent="0.55000000000000004">
      <c r="A144" s="3">
        <v>37.4</v>
      </c>
      <c r="B144" s="3">
        <v>3.1145999999999998</v>
      </c>
      <c r="C144" s="3">
        <v>632.20001999999999</v>
      </c>
      <c r="D144" s="4">
        <f t="shared" si="5"/>
        <v>1.0585585585585557E-2</v>
      </c>
      <c r="E144" s="4">
        <f t="shared" si="4"/>
        <v>10.536667</v>
      </c>
    </row>
    <row r="145" spans="1:5" x14ac:dyDescent="0.55000000000000004">
      <c r="A145" s="3">
        <v>37.5</v>
      </c>
      <c r="B145" s="3">
        <v>3.1229</v>
      </c>
      <c r="C145" s="3">
        <v>633.81001000000003</v>
      </c>
      <c r="D145" s="4">
        <f t="shared" si="5"/>
        <v>1.0660360360360333E-2</v>
      </c>
      <c r="E145" s="4">
        <f t="shared" si="4"/>
        <v>10.563500166666667</v>
      </c>
    </row>
    <row r="146" spans="1:5" x14ac:dyDescent="0.55000000000000004">
      <c r="A146" s="3">
        <v>37.6</v>
      </c>
      <c r="B146" s="3">
        <v>3.1312000000000002</v>
      </c>
      <c r="C146" s="3">
        <v>636.21997999999996</v>
      </c>
      <c r="D146" s="4">
        <f t="shared" si="5"/>
        <v>1.0735135135135111E-2</v>
      </c>
      <c r="E146" s="4">
        <f t="shared" si="4"/>
        <v>10.603666333333333</v>
      </c>
    </row>
    <row r="147" spans="1:5" x14ac:dyDescent="0.55000000000000004">
      <c r="A147" s="3">
        <v>37.700000000000003</v>
      </c>
      <c r="B147" s="3">
        <v>3.1395</v>
      </c>
      <c r="C147" s="3">
        <v>637.82997</v>
      </c>
      <c r="D147" s="4">
        <f t="shared" si="5"/>
        <v>1.0809909909909883E-2</v>
      </c>
      <c r="E147" s="4">
        <f t="shared" si="4"/>
        <v>10.630499500000001</v>
      </c>
    </row>
    <row r="148" spans="1:5" x14ac:dyDescent="0.55000000000000004">
      <c r="A148" s="3">
        <v>37.799999999999997</v>
      </c>
      <c r="B148" s="3">
        <v>3.1478999999999999</v>
      </c>
      <c r="C148" s="3">
        <v>638.64</v>
      </c>
      <c r="D148" s="4">
        <f t="shared" si="5"/>
        <v>1.0885585585585559E-2</v>
      </c>
      <c r="E148" s="4">
        <f t="shared" si="4"/>
        <v>10.644</v>
      </c>
    </row>
    <row r="149" spans="1:5" x14ac:dyDescent="0.55000000000000004">
      <c r="A149" s="3">
        <v>37.9</v>
      </c>
      <c r="B149" s="3">
        <v>3.1562000000000001</v>
      </c>
      <c r="C149" s="3">
        <v>641.06002000000001</v>
      </c>
      <c r="D149" s="4">
        <f t="shared" si="5"/>
        <v>1.0960360360360334E-2</v>
      </c>
      <c r="E149" s="4">
        <f t="shared" si="4"/>
        <v>10.684333666666667</v>
      </c>
    </row>
    <row r="150" spans="1:5" x14ac:dyDescent="0.55000000000000004">
      <c r="A150" s="3">
        <v>38</v>
      </c>
      <c r="B150" s="3">
        <v>3.1644999999999999</v>
      </c>
      <c r="C150" s="3">
        <v>642.67002000000002</v>
      </c>
      <c r="D150" s="4">
        <f t="shared" si="5"/>
        <v>1.1035135135135106E-2</v>
      </c>
      <c r="E150" s="4">
        <f t="shared" si="4"/>
        <v>10.711167</v>
      </c>
    </row>
    <row r="151" spans="1:5" x14ac:dyDescent="0.55000000000000004">
      <c r="A151" s="3">
        <v>38.1</v>
      </c>
      <c r="B151" s="3">
        <v>3.1728999999999998</v>
      </c>
      <c r="C151" s="3">
        <v>643.46999000000005</v>
      </c>
      <c r="D151" s="4">
        <f t="shared" si="5"/>
        <v>1.1110810810810782E-2</v>
      </c>
      <c r="E151" s="4">
        <f t="shared" si="4"/>
        <v>10.724499833333335</v>
      </c>
    </row>
    <row r="152" spans="1:5" x14ac:dyDescent="0.55000000000000004">
      <c r="A152" s="3">
        <v>38.200000000000003</v>
      </c>
      <c r="B152" s="3">
        <v>3.1812</v>
      </c>
      <c r="C152" s="3">
        <v>645.07998999999995</v>
      </c>
      <c r="D152" s="4">
        <f t="shared" si="5"/>
        <v>1.1185585585585557E-2</v>
      </c>
      <c r="E152" s="4">
        <f t="shared" si="4"/>
        <v>10.751333166666665</v>
      </c>
    </row>
    <row r="153" spans="1:5" x14ac:dyDescent="0.55000000000000004">
      <c r="A153" s="3">
        <v>38.299999999999997</v>
      </c>
      <c r="B153" s="3">
        <v>3.1896</v>
      </c>
      <c r="C153" s="3">
        <v>646.68997999999999</v>
      </c>
      <c r="D153" s="4">
        <f t="shared" si="5"/>
        <v>1.1261261261261233E-2</v>
      </c>
      <c r="E153" s="4">
        <f t="shared" si="4"/>
        <v>10.778166333333333</v>
      </c>
    </row>
    <row r="154" spans="1:5" x14ac:dyDescent="0.55000000000000004">
      <c r="A154" s="3">
        <v>38.4</v>
      </c>
      <c r="B154" s="3">
        <v>3.1979000000000002</v>
      </c>
      <c r="C154" s="3">
        <v>648.29998000000001</v>
      </c>
      <c r="D154" s="4">
        <f t="shared" si="5"/>
        <v>1.1336036036036012E-2</v>
      </c>
      <c r="E154" s="4">
        <f t="shared" si="4"/>
        <v>10.804999666666667</v>
      </c>
    </row>
    <row r="155" spans="1:5" x14ac:dyDescent="0.55000000000000004">
      <c r="A155" s="3">
        <v>38.5</v>
      </c>
      <c r="B155" s="3">
        <v>3.2061999999999999</v>
      </c>
      <c r="C155" s="3">
        <v>649.11</v>
      </c>
      <c r="D155" s="4">
        <f t="shared" si="5"/>
        <v>1.1410810810810783E-2</v>
      </c>
      <c r="E155" s="4">
        <f t="shared" si="4"/>
        <v>10.8185</v>
      </c>
    </row>
    <row r="156" spans="1:5" x14ac:dyDescent="0.55000000000000004">
      <c r="A156" s="3">
        <v>38.6</v>
      </c>
      <c r="B156" s="3">
        <v>3.2145000000000001</v>
      </c>
      <c r="C156" s="3">
        <v>649.90997000000004</v>
      </c>
      <c r="D156" s="4">
        <f t="shared" si="5"/>
        <v>1.1485585585585559E-2</v>
      </c>
      <c r="E156" s="4">
        <f t="shared" si="4"/>
        <v>10.831832833333333</v>
      </c>
    </row>
    <row r="157" spans="1:5" x14ac:dyDescent="0.55000000000000004">
      <c r="A157" s="3">
        <v>38.700000000000003</v>
      </c>
      <c r="B157" s="3">
        <v>3.2229000000000001</v>
      </c>
      <c r="C157" s="3">
        <v>650.72</v>
      </c>
      <c r="D157" s="4">
        <f t="shared" si="5"/>
        <v>1.1561261261261235E-2</v>
      </c>
      <c r="E157" s="4">
        <f t="shared" si="4"/>
        <v>10.845333333333334</v>
      </c>
    </row>
    <row r="158" spans="1:5" x14ac:dyDescent="0.55000000000000004">
      <c r="A158" s="3">
        <v>38.799999999999997</v>
      </c>
      <c r="B158" s="3">
        <v>3.2311999999999999</v>
      </c>
      <c r="C158" s="3">
        <v>652.33000000000004</v>
      </c>
      <c r="D158" s="4">
        <f t="shared" si="5"/>
        <v>1.1636036036036006E-2</v>
      </c>
      <c r="E158" s="4">
        <f t="shared" si="4"/>
        <v>10.872166666666667</v>
      </c>
    </row>
    <row r="159" spans="1:5" x14ac:dyDescent="0.55000000000000004">
      <c r="A159" s="3">
        <v>38.9</v>
      </c>
      <c r="B159" s="3">
        <v>3.2395</v>
      </c>
      <c r="C159" s="3">
        <v>653.14002000000005</v>
      </c>
      <c r="D159" s="4">
        <f t="shared" si="5"/>
        <v>1.1710810810810785E-2</v>
      </c>
      <c r="E159" s="4">
        <f t="shared" si="4"/>
        <v>10.885667000000002</v>
      </c>
    </row>
    <row r="160" spans="1:5" x14ac:dyDescent="0.55000000000000004">
      <c r="A160" s="3">
        <v>39</v>
      </c>
      <c r="B160" s="3">
        <v>3.2479</v>
      </c>
      <c r="C160" s="3">
        <v>653.93998999999997</v>
      </c>
      <c r="D160" s="4">
        <f t="shared" si="5"/>
        <v>1.1786486486486458E-2</v>
      </c>
      <c r="E160" s="4">
        <f t="shared" si="4"/>
        <v>10.898999833333333</v>
      </c>
    </row>
    <row r="161" spans="1:5" x14ac:dyDescent="0.55000000000000004">
      <c r="A161" s="3">
        <v>39.1</v>
      </c>
      <c r="B161" s="3">
        <v>3.2562000000000002</v>
      </c>
      <c r="C161" s="3">
        <v>653.93998999999997</v>
      </c>
      <c r="D161" s="4">
        <f t="shared" si="5"/>
        <v>1.1861261261261236E-2</v>
      </c>
      <c r="E161" s="4">
        <f t="shared" si="4"/>
        <v>10.898999833333333</v>
      </c>
    </row>
    <row r="162" spans="1:5" x14ac:dyDescent="0.55000000000000004">
      <c r="A162" s="3">
        <v>39.200000000000003</v>
      </c>
      <c r="B162" s="3">
        <v>3.2646000000000002</v>
      </c>
      <c r="C162" s="3">
        <v>654.75001999999995</v>
      </c>
      <c r="D162" s="4">
        <f t="shared" si="5"/>
        <v>1.1936936936936912E-2</v>
      </c>
      <c r="E162" s="4">
        <f t="shared" si="4"/>
        <v>10.912500333333332</v>
      </c>
    </row>
    <row r="163" spans="1:5" x14ac:dyDescent="0.55000000000000004">
      <c r="A163" s="3">
        <v>39.299999999999997</v>
      </c>
      <c r="B163" s="3">
        <v>3.2728999999999999</v>
      </c>
      <c r="C163" s="3">
        <v>654.75001999999995</v>
      </c>
      <c r="D163" s="4">
        <f t="shared" si="5"/>
        <v>1.2011711711711684E-2</v>
      </c>
      <c r="E163" s="4">
        <f t="shared" si="4"/>
        <v>10.912500333333332</v>
      </c>
    </row>
    <row r="164" spans="1:5" x14ac:dyDescent="0.55000000000000004">
      <c r="A164" s="3">
        <v>39.4</v>
      </c>
      <c r="B164" s="3">
        <v>3.2812000000000001</v>
      </c>
      <c r="C164" s="3">
        <v>655.54998999999998</v>
      </c>
      <c r="D164" s="4">
        <f t="shared" si="5"/>
        <v>1.2086486486486459E-2</v>
      </c>
      <c r="E164" s="4">
        <f t="shared" si="4"/>
        <v>10.925833166666667</v>
      </c>
    </row>
    <row r="165" spans="1:5" x14ac:dyDescent="0.55000000000000004">
      <c r="A165" s="3">
        <v>39.5</v>
      </c>
      <c r="B165" s="3">
        <v>3.2894999999999999</v>
      </c>
      <c r="C165" s="3">
        <v>656.36001999999996</v>
      </c>
      <c r="D165" s="4">
        <f t="shared" si="5"/>
        <v>1.2161261261261234E-2</v>
      </c>
      <c r="E165" s="4">
        <f t="shared" si="4"/>
        <v>10.939333666666666</v>
      </c>
    </row>
    <row r="166" spans="1:5" x14ac:dyDescent="0.55000000000000004">
      <c r="A166" s="3">
        <v>39.6</v>
      </c>
      <c r="B166" s="3">
        <v>3.2978999999999998</v>
      </c>
      <c r="C166" s="3">
        <v>656.36001999999996</v>
      </c>
      <c r="D166" s="4">
        <f t="shared" si="5"/>
        <v>1.2236936936936907E-2</v>
      </c>
      <c r="E166" s="4">
        <f t="shared" si="4"/>
        <v>10.939333666666666</v>
      </c>
    </row>
    <row r="167" spans="1:5" x14ac:dyDescent="0.55000000000000004">
      <c r="A167" s="3">
        <v>39.700000000000003</v>
      </c>
      <c r="B167" s="3">
        <v>3.3062</v>
      </c>
      <c r="C167" s="3">
        <v>656.36001999999996</v>
      </c>
      <c r="D167" s="4">
        <f t="shared" si="5"/>
        <v>1.2311711711711686E-2</v>
      </c>
      <c r="E167" s="4">
        <f t="shared" si="4"/>
        <v>10.939333666666666</v>
      </c>
    </row>
    <row r="168" spans="1:5" x14ac:dyDescent="0.55000000000000004">
      <c r="A168" s="3">
        <v>39.799999999999997</v>
      </c>
      <c r="B168" s="3">
        <v>3.3144999999999998</v>
      </c>
      <c r="C168" s="3">
        <v>657.15998000000002</v>
      </c>
      <c r="D168" s="4">
        <f t="shared" si="5"/>
        <v>1.2386486486486457E-2</v>
      </c>
      <c r="E168" s="4">
        <f t="shared" si="4"/>
        <v>10.952666333333333</v>
      </c>
    </row>
    <row r="169" spans="1:5" x14ac:dyDescent="0.55000000000000004">
      <c r="A169" s="3">
        <v>39.9</v>
      </c>
      <c r="B169" s="3">
        <v>3.3229000000000002</v>
      </c>
      <c r="C169" s="3">
        <v>657.15998000000002</v>
      </c>
      <c r="D169" s="4">
        <f t="shared" si="5"/>
        <v>1.2462162162162137E-2</v>
      </c>
      <c r="E169" s="4">
        <f t="shared" si="4"/>
        <v>10.952666333333333</v>
      </c>
    </row>
    <row r="170" spans="1:5" x14ac:dyDescent="0.55000000000000004">
      <c r="A170" s="3">
        <v>40</v>
      </c>
      <c r="B170" s="3">
        <v>3.3311999999999999</v>
      </c>
      <c r="C170" s="3">
        <v>657.15998000000002</v>
      </c>
      <c r="D170" s="4">
        <f t="shared" si="5"/>
        <v>1.2536936936936909E-2</v>
      </c>
      <c r="E170" s="4">
        <f t="shared" si="4"/>
        <v>10.952666333333333</v>
      </c>
    </row>
    <row r="171" spans="1:5" x14ac:dyDescent="0.55000000000000004">
      <c r="A171" s="3">
        <v>40.1</v>
      </c>
      <c r="B171" s="3">
        <v>3.3395999999999999</v>
      </c>
      <c r="C171" s="3">
        <v>656.36001999999996</v>
      </c>
      <c r="D171" s="4">
        <f t="shared" si="5"/>
        <v>1.2612612612612584E-2</v>
      </c>
      <c r="E171" s="4">
        <f t="shared" si="4"/>
        <v>10.939333666666666</v>
      </c>
    </row>
    <row r="172" spans="1:5" x14ac:dyDescent="0.55000000000000004">
      <c r="A172" s="3">
        <v>40.200000000000003</v>
      </c>
      <c r="B172" s="3">
        <v>3.3479000000000001</v>
      </c>
      <c r="C172" s="3">
        <v>656.36001999999996</v>
      </c>
      <c r="D172" s="4">
        <f t="shared" si="5"/>
        <v>1.268738738738736E-2</v>
      </c>
      <c r="E172" s="4">
        <f t="shared" si="4"/>
        <v>10.939333666666666</v>
      </c>
    </row>
    <row r="173" spans="1:5" x14ac:dyDescent="0.55000000000000004">
      <c r="A173" s="3">
        <v>40.299999999999997</v>
      </c>
      <c r="B173" s="3">
        <v>3.3561999999999999</v>
      </c>
      <c r="C173" s="3">
        <v>655.54998999999998</v>
      </c>
      <c r="D173" s="4">
        <f t="shared" si="5"/>
        <v>1.2762162162162135E-2</v>
      </c>
      <c r="E173" s="4">
        <f t="shared" si="4"/>
        <v>10.925833166666667</v>
      </c>
    </row>
    <row r="174" spans="1:5" x14ac:dyDescent="0.55000000000000004">
      <c r="A174" s="3">
        <v>40.4</v>
      </c>
      <c r="B174" s="3">
        <v>3.3645</v>
      </c>
      <c r="C174" s="3">
        <v>655.54998999999998</v>
      </c>
      <c r="D174" s="4">
        <f t="shared" si="5"/>
        <v>1.283693693693691E-2</v>
      </c>
      <c r="E174" s="4">
        <f t="shared" si="4"/>
        <v>10.925833166666667</v>
      </c>
    </row>
    <row r="175" spans="1:5" x14ac:dyDescent="0.55000000000000004">
      <c r="A175" s="3">
        <v>40.5</v>
      </c>
      <c r="B175" s="3">
        <v>3.3729</v>
      </c>
      <c r="C175" s="3">
        <v>654.75001999999995</v>
      </c>
      <c r="D175" s="4">
        <f t="shared" si="5"/>
        <v>1.2912612612612586E-2</v>
      </c>
      <c r="E175" s="4">
        <f t="shared" si="4"/>
        <v>10.912500333333332</v>
      </c>
    </row>
    <row r="176" spans="1:5" x14ac:dyDescent="0.55000000000000004">
      <c r="A176" s="3">
        <v>40.6</v>
      </c>
      <c r="B176" s="3">
        <v>3.3812000000000002</v>
      </c>
      <c r="C176" s="3">
        <v>654.75001999999995</v>
      </c>
      <c r="D176" s="4">
        <f t="shared" si="5"/>
        <v>1.2987387387387361E-2</v>
      </c>
      <c r="E176" s="4">
        <f t="shared" si="4"/>
        <v>10.912500333333332</v>
      </c>
    </row>
    <row r="177" spans="1:5" x14ac:dyDescent="0.55000000000000004">
      <c r="A177" s="3">
        <v>40.700000000000003</v>
      </c>
      <c r="B177" s="3">
        <v>3.3895</v>
      </c>
      <c r="C177" s="3">
        <v>653.93998999999997</v>
      </c>
      <c r="D177" s="4">
        <f t="shared" si="5"/>
        <v>1.3062162162162133E-2</v>
      </c>
      <c r="E177" s="4">
        <f t="shared" si="4"/>
        <v>10.898999833333333</v>
      </c>
    </row>
    <row r="178" spans="1:5" x14ac:dyDescent="0.55000000000000004">
      <c r="A178" s="3">
        <v>40.799999999999997</v>
      </c>
      <c r="B178" s="3">
        <v>3.3978999999999999</v>
      </c>
      <c r="C178" s="3">
        <v>653.14002000000005</v>
      </c>
      <c r="D178" s="4">
        <f t="shared" si="5"/>
        <v>1.3137837837837809E-2</v>
      </c>
      <c r="E178" s="4">
        <f t="shared" si="4"/>
        <v>10.885667000000002</v>
      </c>
    </row>
    <row r="179" spans="1:5" x14ac:dyDescent="0.55000000000000004">
      <c r="A179" s="3">
        <v>40.9</v>
      </c>
      <c r="B179" s="3">
        <v>3.4062000000000001</v>
      </c>
      <c r="C179" s="3">
        <v>652.33000000000004</v>
      </c>
      <c r="D179" s="4">
        <f t="shared" si="5"/>
        <v>1.3212612612612588E-2</v>
      </c>
      <c r="E179" s="4">
        <f t="shared" si="4"/>
        <v>10.872166666666667</v>
      </c>
    </row>
    <row r="180" spans="1:5" x14ac:dyDescent="0.55000000000000004">
      <c r="A180" s="3">
        <v>41</v>
      </c>
      <c r="B180" s="3">
        <v>3.4146000000000001</v>
      </c>
      <c r="C180" s="3">
        <v>651.52002000000005</v>
      </c>
      <c r="D180" s="4">
        <f t="shared" si="5"/>
        <v>1.328828828828826E-2</v>
      </c>
      <c r="E180" s="4">
        <f t="shared" si="4"/>
        <v>10.858667000000001</v>
      </c>
    </row>
    <row r="181" spans="1:5" x14ac:dyDescent="0.55000000000000004">
      <c r="A181" s="3">
        <v>41.1</v>
      </c>
      <c r="B181" s="3">
        <v>3.4228999999999998</v>
      </c>
      <c r="C181" s="3">
        <v>649.90997000000004</v>
      </c>
      <c r="D181" s="4">
        <f t="shared" si="5"/>
        <v>1.3363063063063035E-2</v>
      </c>
      <c r="E181" s="4">
        <f t="shared" si="4"/>
        <v>10.831832833333333</v>
      </c>
    </row>
    <row r="182" spans="1:5" x14ac:dyDescent="0.55000000000000004">
      <c r="A182" s="3">
        <v>41.2</v>
      </c>
      <c r="B182" s="3">
        <v>3.4312</v>
      </c>
      <c r="C182" s="3">
        <v>649.11</v>
      </c>
      <c r="D182" s="4">
        <f t="shared" si="5"/>
        <v>1.3437837837837811E-2</v>
      </c>
      <c r="E182" s="4">
        <f t="shared" si="4"/>
        <v>10.8185</v>
      </c>
    </row>
    <row r="183" spans="1:5" x14ac:dyDescent="0.55000000000000004">
      <c r="A183" s="3">
        <v>41.3</v>
      </c>
      <c r="B183" s="3">
        <v>3.4394999999999998</v>
      </c>
      <c r="C183" s="3">
        <v>647.50000999999997</v>
      </c>
      <c r="D183" s="4">
        <f t="shared" si="5"/>
        <v>1.3512612612612582E-2</v>
      </c>
      <c r="E183" s="4">
        <f t="shared" si="4"/>
        <v>10.791666833333332</v>
      </c>
    </row>
    <row r="184" spans="1:5" x14ac:dyDescent="0.55000000000000004">
      <c r="A184" s="3">
        <v>41.4</v>
      </c>
      <c r="B184" s="3">
        <v>3.4479000000000002</v>
      </c>
      <c r="C184" s="3">
        <v>645.89000999999996</v>
      </c>
      <c r="D184" s="4">
        <f t="shared" si="5"/>
        <v>1.3588288288288262E-2</v>
      </c>
      <c r="E184" s="4">
        <f t="shared" si="4"/>
        <v>10.7648335</v>
      </c>
    </row>
    <row r="185" spans="1:5" x14ac:dyDescent="0.55000000000000004">
      <c r="A185" s="3">
        <v>41.5</v>
      </c>
      <c r="B185" s="3">
        <v>3.4561999999999999</v>
      </c>
      <c r="C185" s="3">
        <v>644.28002000000004</v>
      </c>
      <c r="D185" s="4">
        <f t="shared" si="5"/>
        <v>1.3663063063063034E-2</v>
      </c>
      <c r="E185" s="4">
        <f t="shared" si="4"/>
        <v>10.738000333333334</v>
      </c>
    </row>
    <row r="186" spans="1:5" x14ac:dyDescent="0.55000000000000004">
      <c r="A186" s="3">
        <v>41.6</v>
      </c>
      <c r="B186" s="3">
        <v>3.4645000000000001</v>
      </c>
      <c r="C186" s="3">
        <v>642.67002000000002</v>
      </c>
      <c r="D186" s="4">
        <f t="shared" si="5"/>
        <v>1.3737837837837812E-2</v>
      </c>
      <c r="E186" s="4">
        <f t="shared" si="4"/>
        <v>10.711167</v>
      </c>
    </row>
    <row r="187" spans="1:5" x14ac:dyDescent="0.55000000000000004">
      <c r="A187" s="3">
        <v>41.7</v>
      </c>
      <c r="B187" s="3">
        <v>3.4729000000000001</v>
      </c>
      <c r="C187" s="3">
        <v>641.06002000000001</v>
      </c>
      <c r="D187" s="4">
        <f t="shared" si="5"/>
        <v>1.3813513513513485E-2</v>
      </c>
      <c r="E187" s="4">
        <f t="shared" si="4"/>
        <v>10.684333666666667</v>
      </c>
    </row>
    <row r="188" spans="1:5" x14ac:dyDescent="0.55000000000000004">
      <c r="A188" s="3">
        <v>41.8</v>
      </c>
      <c r="B188" s="3">
        <v>3.4811999999999999</v>
      </c>
      <c r="C188" s="3">
        <v>639.44002999999998</v>
      </c>
      <c r="D188" s="4">
        <f t="shared" si="5"/>
        <v>1.3888288288288256E-2</v>
      </c>
      <c r="E188" s="4">
        <f t="shared" si="4"/>
        <v>10.657333833333333</v>
      </c>
    </row>
    <row r="189" spans="1:5" x14ac:dyDescent="0.55000000000000004">
      <c r="A189" s="3">
        <v>41.9</v>
      </c>
      <c r="B189" s="3">
        <v>3.4895999999999998</v>
      </c>
      <c r="C189" s="3">
        <v>637.03000999999995</v>
      </c>
      <c r="D189" s="4">
        <f t="shared" si="5"/>
        <v>1.3963963963963936E-2</v>
      </c>
      <c r="E189" s="4">
        <f t="shared" si="4"/>
        <v>10.617166833333332</v>
      </c>
    </row>
    <row r="190" spans="1:5" x14ac:dyDescent="0.55000000000000004">
      <c r="A190" s="3">
        <v>42</v>
      </c>
      <c r="B190" s="3">
        <v>3.4979</v>
      </c>
      <c r="C190" s="3">
        <v>634.60997999999995</v>
      </c>
      <c r="D190" s="4">
        <f t="shared" si="5"/>
        <v>1.4038738738738715E-2</v>
      </c>
      <c r="E190" s="4">
        <f t="shared" si="4"/>
        <v>10.576832999999999</v>
      </c>
    </row>
    <row r="191" spans="1:5" x14ac:dyDescent="0.55000000000000004">
      <c r="A191" s="3">
        <v>42.1</v>
      </c>
      <c r="B191" s="3">
        <v>3.5062000000000002</v>
      </c>
      <c r="C191" s="3">
        <v>632.99999000000003</v>
      </c>
      <c r="D191" s="4">
        <f t="shared" si="5"/>
        <v>1.4113513513513486E-2</v>
      </c>
      <c r="E191" s="4">
        <f t="shared" si="4"/>
        <v>10.549999833333334</v>
      </c>
    </row>
    <row r="192" spans="1:5" x14ac:dyDescent="0.55000000000000004">
      <c r="A192" s="3">
        <v>42.2</v>
      </c>
      <c r="B192" s="3">
        <v>3.5145</v>
      </c>
      <c r="C192" s="3">
        <v>630.59001999999998</v>
      </c>
      <c r="D192" s="4">
        <f t="shared" si="5"/>
        <v>1.4188288288288258E-2</v>
      </c>
      <c r="E192" s="4">
        <f t="shared" si="4"/>
        <v>10.509833666666667</v>
      </c>
    </row>
    <row r="193" spans="1:5" x14ac:dyDescent="0.55000000000000004">
      <c r="A193" s="3">
        <v>42.3</v>
      </c>
      <c r="B193" s="3">
        <v>3.5228000000000002</v>
      </c>
      <c r="C193" s="3">
        <v>628.16999999999996</v>
      </c>
      <c r="D193" s="4">
        <f t="shared" si="5"/>
        <v>1.4263063063063037E-2</v>
      </c>
      <c r="E193" s="4">
        <f t="shared" si="4"/>
        <v>10.4695</v>
      </c>
    </row>
    <row r="194" spans="1:5" x14ac:dyDescent="0.55000000000000004">
      <c r="A194" s="3">
        <v>42.4</v>
      </c>
      <c r="B194" s="3">
        <v>3.5312000000000001</v>
      </c>
      <c r="C194" s="3">
        <v>625.74998000000005</v>
      </c>
      <c r="D194" s="4">
        <f t="shared" si="5"/>
        <v>1.4338738738738709E-2</v>
      </c>
      <c r="E194" s="4">
        <f t="shared" si="4"/>
        <v>10.429166333333335</v>
      </c>
    </row>
    <row r="195" spans="1:5" x14ac:dyDescent="0.55000000000000004">
      <c r="A195" s="3">
        <v>42.5</v>
      </c>
      <c r="B195" s="3">
        <v>3.5394999999999999</v>
      </c>
      <c r="C195" s="3">
        <v>623.34001000000001</v>
      </c>
      <c r="D195" s="4">
        <f t="shared" si="5"/>
        <v>1.4413513513513488E-2</v>
      </c>
      <c r="E195" s="4">
        <f t="shared" ref="E195:E229" si="6">C195/$L$4</f>
        <v>10.389000166666667</v>
      </c>
    </row>
    <row r="196" spans="1:5" x14ac:dyDescent="0.55000000000000004">
      <c r="A196" s="3">
        <v>42.6</v>
      </c>
      <c r="B196" s="3">
        <v>3.5478999999999998</v>
      </c>
      <c r="C196" s="3">
        <v>620.91998999999998</v>
      </c>
      <c r="D196" s="4">
        <f t="shared" ref="D196:D229" si="7">((B196/$L$3))-0.0174738738738739</f>
        <v>1.448918918918916E-2</v>
      </c>
      <c r="E196" s="4">
        <f t="shared" si="6"/>
        <v>10.3486665</v>
      </c>
    </row>
    <row r="197" spans="1:5" x14ac:dyDescent="0.55000000000000004">
      <c r="A197" s="3">
        <v>42.7</v>
      </c>
      <c r="B197" s="3">
        <v>3.5560999999999998</v>
      </c>
      <c r="C197" s="3">
        <v>618.51002000000005</v>
      </c>
      <c r="D197" s="4">
        <f t="shared" si="7"/>
        <v>1.4563063063063032E-2</v>
      </c>
      <c r="E197" s="4">
        <f t="shared" si="6"/>
        <v>10.308500333333335</v>
      </c>
    </row>
    <row r="198" spans="1:5" x14ac:dyDescent="0.55000000000000004">
      <c r="A198" s="3">
        <v>42.8</v>
      </c>
      <c r="B198" s="3">
        <v>3.5644999999999998</v>
      </c>
      <c r="C198" s="3">
        <v>616.09</v>
      </c>
      <c r="D198" s="4">
        <f t="shared" si="7"/>
        <v>1.4638738738738711E-2</v>
      </c>
      <c r="E198" s="4">
        <f t="shared" si="6"/>
        <v>10.268166666666668</v>
      </c>
    </row>
    <row r="199" spans="1:5" x14ac:dyDescent="0.55000000000000004">
      <c r="A199" s="3">
        <v>42.9</v>
      </c>
      <c r="B199" s="3">
        <v>3.5729000000000002</v>
      </c>
      <c r="C199" s="3">
        <v>613.66998000000001</v>
      </c>
      <c r="D199" s="4">
        <f t="shared" si="7"/>
        <v>1.471441441441439E-2</v>
      </c>
      <c r="E199" s="4">
        <f t="shared" si="6"/>
        <v>10.227833</v>
      </c>
    </row>
    <row r="200" spans="1:5" x14ac:dyDescent="0.55000000000000004">
      <c r="A200" s="3">
        <v>43</v>
      </c>
      <c r="B200" s="3">
        <v>3.5811999999999999</v>
      </c>
      <c r="C200" s="3">
        <v>610.44997999999998</v>
      </c>
      <c r="D200" s="4">
        <f t="shared" si="7"/>
        <v>1.4789189189189162E-2</v>
      </c>
      <c r="E200" s="4">
        <f t="shared" si="6"/>
        <v>10.174166333333334</v>
      </c>
    </row>
    <row r="201" spans="1:5" x14ac:dyDescent="0.55000000000000004">
      <c r="A201" s="3">
        <v>43.1</v>
      </c>
      <c r="B201" s="3">
        <v>3.5895000000000001</v>
      </c>
      <c r="C201" s="3">
        <v>608.04002000000003</v>
      </c>
      <c r="D201" s="4">
        <f t="shared" si="7"/>
        <v>1.4863963963963941E-2</v>
      </c>
      <c r="E201" s="4">
        <f t="shared" si="6"/>
        <v>10.134000333333335</v>
      </c>
    </row>
    <row r="202" spans="1:5" x14ac:dyDescent="0.55000000000000004">
      <c r="A202" s="3">
        <v>43.2</v>
      </c>
      <c r="B202" s="3">
        <v>3.5977999999999999</v>
      </c>
      <c r="C202" s="3">
        <v>605.62</v>
      </c>
      <c r="D202" s="4">
        <f t="shared" si="7"/>
        <v>1.4938738738738713E-2</v>
      </c>
      <c r="E202" s="4">
        <f t="shared" si="6"/>
        <v>10.093666666666667</v>
      </c>
    </row>
    <row r="203" spans="1:5" x14ac:dyDescent="0.55000000000000004">
      <c r="A203" s="3">
        <v>43.3</v>
      </c>
      <c r="B203" s="3">
        <v>3.6061999999999999</v>
      </c>
      <c r="C203" s="3">
        <v>602.4</v>
      </c>
      <c r="D203" s="4">
        <f t="shared" si="7"/>
        <v>1.5014414414414385E-2</v>
      </c>
      <c r="E203" s="4">
        <f t="shared" si="6"/>
        <v>10.039999999999999</v>
      </c>
    </row>
    <row r="204" spans="1:5" x14ac:dyDescent="0.55000000000000004">
      <c r="A204" s="3">
        <v>43.4</v>
      </c>
      <c r="B204" s="3">
        <v>3.6145</v>
      </c>
      <c r="C204" s="3">
        <v>600.79001000000005</v>
      </c>
      <c r="D204" s="4">
        <f t="shared" si="7"/>
        <v>1.5089189189189164E-2</v>
      </c>
      <c r="E204" s="4">
        <f t="shared" si="6"/>
        <v>10.013166833333335</v>
      </c>
    </row>
    <row r="205" spans="1:5" x14ac:dyDescent="0.55000000000000004">
      <c r="A205" s="3">
        <v>43.5</v>
      </c>
      <c r="B205" s="3">
        <v>3.6229</v>
      </c>
      <c r="C205" s="3">
        <v>598.36999000000003</v>
      </c>
      <c r="D205" s="4">
        <f t="shared" si="7"/>
        <v>1.5164864864864836E-2</v>
      </c>
      <c r="E205" s="4">
        <f t="shared" si="6"/>
        <v>9.9728331666666676</v>
      </c>
    </row>
    <row r="206" spans="1:5" x14ac:dyDescent="0.55000000000000004">
      <c r="A206" s="3">
        <v>43.6</v>
      </c>
      <c r="B206" s="3">
        <v>3.6311</v>
      </c>
      <c r="C206" s="3">
        <v>595.96001999999999</v>
      </c>
      <c r="D206" s="4">
        <f t="shared" si="7"/>
        <v>1.5238738738738714E-2</v>
      </c>
      <c r="E206" s="4">
        <f t="shared" si="6"/>
        <v>9.9326670000000004</v>
      </c>
    </row>
    <row r="207" spans="1:5" x14ac:dyDescent="0.55000000000000004">
      <c r="A207" s="3">
        <v>43.7</v>
      </c>
      <c r="B207" s="3">
        <v>3.6395</v>
      </c>
      <c r="C207" s="3">
        <v>593.54</v>
      </c>
      <c r="D207" s="4">
        <f t="shared" si="7"/>
        <v>1.5314414414414387E-2</v>
      </c>
      <c r="E207" s="4">
        <f t="shared" si="6"/>
        <v>9.8923333333333332</v>
      </c>
    </row>
    <row r="208" spans="1:5" x14ac:dyDescent="0.55000000000000004">
      <c r="A208" s="3">
        <v>43.8</v>
      </c>
      <c r="B208" s="3">
        <v>3.6478999999999999</v>
      </c>
      <c r="C208" s="3">
        <v>591.11996999999997</v>
      </c>
      <c r="D208" s="4">
        <f t="shared" si="7"/>
        <v>1.5390090090090059E-2</v>
      </c>
      <c r="E208" s="4">
        <f t="shared" si="6"/>
        <v>9.8519994999999998</v>
      </c>
    </row>
    <row r="209" spans="1:5" x14ac:dyDescent="0.55000000000000004">
      <c r="A209" s="3">
        <v>43.9</v>
      </c>
      <c r="B209" s="3">
        <v>3.6562000000000001</v>
      </c>
      <c r="C209" s="3">
        <v>589.50998000000004</v>
      </c>
      <c r="D209" s="4">
        <f t="shared" si="7"/>
        <v>1.5464864864864838E-2</v>
      </c>
      <c r="E209" s="4">
        <f t="shared" si="6"/>
        <v>9.8251663333333337</v>
      </c>
    </row>
    <row r="210" spans="1:5" x14ac:dyDescent="0.55000000000000004">
      <c r="A210" s="3">
        <v>44</v>
      </c>
      <c r="B210" s="3">
        <v>3.6644999999999999</v>
      </c>
      <c r="C210" s="3">
        <v>587.10001</v>
      </c>
      <c r="D210" s="4">
        <f t="shared" si="7"/>
        <v>1.553963963963961E-2</v>
      </c>
      <c r="E210" s="4">
        <f t="shared" si="6"/>
        <v>9.7850001666666664</v>
      </c>
    </row>
    <row r="211" spans="1:5" x14ac:dyDescent="0.55000000000000004">
      <c r="A211" s="3">
        <v>44.1</v>
      </c>
      <c r="B211" s="3">
        <v>3.6728000000000001</v>
      </c>
      <c r="C211" s="3">
        <v>585.49001999999996</v>
      </c>
      <c r="D211" s="4">
        <f t="shared" si="7"/>
        <v>1.5614414414414388E-2</v>
      </c>
      <c r="E211" s="4">
        <f t="shared" si="6"/>
        <v>9.7581669999999985</v>
      </c>
    </row>
    <row r="212" spans="1:5" x14ac:dyDescent="0.55000000000000004">
      <c r="A212" s="3">
        <v>44.2</v>
      </c>
      <c r="B212" s="3">
        <v>3.6812</v>
      </c>
      <c r="C212" s="3">
        <v>583.88001999999994</v>
      </c>
      <c r="D212" s="4">
        <f t="shared" si="7"/>
        <v>1.5690090090090061E-2</v>
      </c>
      <c r="E212" s="4">
        <f t="shared" si="6"/>
        <v>9.7313336666666661</v>
      </c>
    </row>
    <row r="213" spans="1:5" x14ac:dyDescent="0.55000000000000004">
      <c r="A213" s="3">
        <v>44.3</v>
      </c>
      <c r="B213" s="3">
        <v>3.6894999999999998</v>
      </c>
      <c r="C213" s="3">
        <v>581.46</v>
      </c>
      <c r="D213" s="4">
        <f t="shared" si="7"/>
        <v>1.5764864864864832E-2</v>
      </c>
      <c r="E213" s="4">
        <f t="shared" si="6"/>
        <v>9.6910000000000007</v>
      </c>
    </row>
    <row r="214" spans="1:5" x14ac:dyDescent="0.55000000000000004">
      <c r="A214" s="3">
        <v>44.4</v>
      </c>
      <c r="B214" s="3">
        <v>3.6979000000000002</v>
      </c>
      <c r="C214" s="3">
        <v>579.85</v>
      </c>
      <c r="D214" s="4">
        <f t="shared" si="7"/>
        <v>1.5840540540540512E-2</v>
      </c>
      <c r="E214" s="4">
        <f t="shared" si="6"/>
        <v>9.6641666666666666</v>
      </c>
    </row>
    <row r="215" spans="1:5" x14ac:dyDescent="0.55000000000000004">
      <c r="A215" s="3">
        <v>44.5</v>
      </c>
      <c r="B215" s="3">
        <v>3.7061000000000002</v>
      </c>
      <c r="C215" s="3">
        <v>578.24000999999998</v>
      </c>
      <c r="D215" s="4">
        <f t="shared" si="7"/>
        <v>1.591441441441439E-2</v>
      </c>
      <c r="E215" s="4">
        <f t="shared" si="6"/>
        <v>9.6373335000000004</v>
      </c>
    </row>
    <row r="216" spans="1:5" x14ac:dyDescent="0.55000000000000004">
      <c r="A216" s="3">
        <v>44.6</v>
      </c>
      <c r="B216" s="3">
        <v>3.7145000000000001</v>
      </c>
      <c r="C216" s="3">
        <v>575.81997999999999</v>
      </c>
      <c r="D216" s="4">
        <f t="shared" si="7"/>
        <v>1.5990090090090062E-2</v>
      </c>
      <c r="E216" s="4">
        <f t="shared" si="6"/>
        <v>9.596999666666667</v>
      </c>
    </row>
    <row r="217" spans="1:5" x14ac:dyDescent="0.55000000000000004">
      <c r="A217" s="3">
        <v>44.7</v>
      </c>
      <c r="B217" s="3">
        <v>3.7229000000000001</v>
      </c>
      <c r="C217" s="3">
        <v>574.20998999999995</v>
      </c>
      <c r="D217" s="4">
        <f t="shared" si="7"/>
        <v>1.6065765765765742E-2</v>
      </c>
      <c r="E217" s="4">
        <f t="shared" si="6"/>
        <v>9.5701664999999991</v>
      </c>
    </row>
    <row r="218" spans="1:5" x14ac:dyDescent="0.55000000000000004">
      <c r="D218" s="4"/>
      <c r="E218" s="4"/>
    </row>
    <row r="219" spans="1:5" x14ac:dyDescent="0.55000000000000004">
      <c r="D219" s="4"/>
      <c r="E219" s="4"/>
    </row>
    <row r="220" spans="1:5" x14ac:dyDescent="0.55000000000000004">
      <c r="D220" s="4"/>
      <c r="E220" s="4"/>
    </row>
    <row r="221" spans="1:5" x14ac:dyDescent="0.55000000000000004">
      <c r="D221" s="4"/>
      <c r="E221" s="4"/>
    </row>
    <row r="222" spans="1:5" x14ac:dyDescent="0.55000000000000004">
      <c r="D222" s="4"/>
      <c r="E222" s="4"/>
    </row>
    <row r="223" spans="1:5" x14ac:dyDescent="0.55000000000000004">
      <c r="D223" s="4"/>
      <c r="E223" s="4"/>
    </row>
    <row r="224" spans="1:5" x14ac:dyDescent="0.55000000000000004">
      <c r="D224" s="4"/>
      <c r="E224" s="4"/>
    </row>
    <row r="225" spans="4:5" x14ac:dyDescent="0.55000000000000004">
      <c r="D225" s="4"/>
      <c r="E225" s="4"/>
    </row>
    <row r="226" spans="4:5" x14ac:dyDescent="0.55000000000000004">
      <c r="D226" s="4"/>
      <c r="E226" s="4"/>
    </row>
    <row r="227" spans="4:5" x14ac:dyDescent="0.55000000000000004">
      <c r="D227" s="4"/>
      <c r="E227" s="4"/>
    </row>
    <row r="228" spans="4:5" x14ac:dyDescent="0.55000000000000004">
      <c r="D228" s="4"/>
      <c r="E228" s="4"/>
    </row>
    <row r="229" spans="4:5" x14ac:dyDescent="0.55000000000000004">
      <c r="D229" s="4"/>
      <c r="E229" s="4"/>
    </row>
    <row r="230" spans="4:5" x14ac:dyDescent="0.55000000000000004">
      <c r="D230" s="4"/>
      <c r="E230" s="4"/>
    </row>
    <row r="231" spans="4:5" x14ac:dyDescent="0.55000000000000004">
      <c r="D231" s="4"/>
      <c r="E231" s="4"/>
    </row>
    <row r="232" spans="4:5" x14ac:dyDescent="0.55000000000000004">
      <c r="D232" s="4"/>
      <c r="E232" s="4"/>
    </row>
    <row r="233" spans="4:5" x14ac:dyDescent="0.55000000000000004">
      <c r="D233" s="4"/>
      <c r="E233" s="4"/>
    </row>
    <row r="234" spans="4:5" x14ac:dyDescent="0.55000000000000004">
      <c r="D234" s="4"/>
      <c r="E234" s="4"/>
    </row>
    <row r="235" spans="4:5" x14ac:dyDescent="0.55000000000000004">
      <c r="D235" s="4"/>
      <c r="E235" s="4"/>
    </row>
    <row r="236" spans="4:5" x14ac:dyDescent="0.55000000000000004">
      <c r="D236" s="4"/>
      <c r="E236" s="4"/>
    </row>
    <row r="237" spans="4:5" x14ac:dyDescent="0.55000000000000004">
      <c r="D237" s="4"/>
      <c r="E237" s="4"/>
    </row>
    <row r="238" spans="4:5" x14ac:dyDescent="0.55000000000000004">
      <c r="D238" s="4"/>
      <c r="E238" s="4"/>
    </row>
    <row r="239" spans="4:5" x14ac:dyDescent="0.55000000000000004">
      <c r="D239" s="4"/>
      <c r="E239" s="4"/>
    </row>
    <row r="240" spans="4:5" x14ac:dyDescent="0.55000000000000004">
      <c r="D240" s="4"/>
      <c r="E240" s="4"/>
    </row>
    <row r="241" spans="4:5" x14ac:dyDescent="0.55000000000000004">
      <c r="D241" s="4"/>
      <c r="E241" s="4"/>
    </row>
    <row r="242" spans="4:5" x14ac:dyDescent="0.55000000000000004">
      <c r="D242" s="4"/>
      <c r="E242" s="4"/>
    </row>
    <row r="243" spans="4:5" x14ac:dyDescent="0.55000000000000004">
      <c r="D243" s="4"/>
      <c r="E243" s="4"/>
    </row>
    <row r="244" spans="4:5" x14ac:dyDescent="0.55000000000000004">
      <c r="D244" s="4"/>
      <c r="E244" s="4"/>
    </row>
    <row r="245" spans="4:5" x14ac:dyDescent="0.55000000000000004">
      <c r="D245" s="4"/>
      <c r="E245" s="4"/>
    </row>
    <row r="246" spans="4:5" x14ac:dyDescent="0.55000000000000004">
      <c r="D246" s="4"/>
      <c r="E246" s="4"/>
    </row>
    <row r="247" spans="4:5" x14ac:dyDescent="0.55000000000000004">
      <c r="D247" s="4"/>
      <c r="E247" s="4"/>
    </row>
    <row r="248" spans="4:5" x14ac:dyDescent="0.55000000000000004">
      <c r="D248" s="4"/>
      <c r="E248" s="4"/>
    </row>
    <row r="249" spans="4:5" x14ac:dyDescent="0.55000000000000004">
      <c r="D249" s="4"/>
      <c r="E249" s="4"/>
    </row>
    <row r="250" spans="4:5" x14ac:dyDescent="0.55000000000000004">
      <c r="D250" s="4"/>
      <c r="E250" s="4"/>
    </row>
    <row r="251" spans="4:5" x14ac:dyDescent="0.55000000000000004">
      <c r="D251" s="4"/>
      <c r="E251" s="4"/>
    </row>
    <row r="252" spans="4:5" x14ac:dyDescent="0.55000000000000004">
      <c r="D252" s="4"/>
      <c r="E252" s="4"/>
    </row>
    <row r="253" spans="4:5" x14ac:dyDescent="0.55000000000000004">
      <c r="D253" s="4"/>
      <c r="E253" s="4"/>
    </row>
    <row r="254" spans="4:5" x14ac:dyDescent="0.55000000000000004">
      <c r="D254" s="4"/>
      <c r="E254" s="4"/>
    </row>
    <row r="255" spans="4:5" x14ac:dyDescent="0.55000000000000004">
      <c r="D255" s="4"/>
      <c r="E255" s="4"/>
    </row>
    <row r="256" spans="4:5" x14ac:dyDescent="0.55000000000000004">
      <c r="D256" s="4"/>
      <c r="E256" s="4"/>
    </row>
    <row r="257" spans="4:5" x14ac:dyDescent="0.55000000000000004">
      <c r="D257" s="4"/>
      <c r="E257" s="4"/>
    </row>
    <row r="258" spans="4:5" x14ac:dyDescent="0.55000000000000004">
      <c r="D258" s="4"/>
      <c r="E258" s="4"/>
    </row>
    <row r="259" spans="4:5" x14ac:dyDescent="0.55000000000000004">
      <c r="D259" s="4"/>
      <c r="E259" s="4"/>
    </row>
    <row r="260" spans="4:5" x14ac:dyDescent="0.55000000000000004">
      <c r="D260" s="4"/>
      <c r="E260" s="4"/>
    </row>
    <row r="261" spans="4:5" x14ac:dyDescent="0.55000000000000004">
      <c r="D261" s="4"/>
      <c r="E261" s="4"/>
    </row>
    <row r="262" spans="4:5" x14ac:dyDescent="0.55000000000000004">
      <c r="D262" s="4"/>
      <c r="E262" s="4"/>
    </row>
    <row r="263" spans="4:5" x14ac:dyDescent="0.55000000000000004">
      <c r="D263" s="4"/>
      <c r="E263" s="4"/>
    </row>
    <row r="264" spans="4:5" x14ac:dyDescent="0.55000000000000004">
      <c r="D264" s="4"/>
      <c r="E264" s="4"/>
    </row>
    <row r="265" spans="4:5" x14ac:dyDescent="0.55000000000000004">
      <c r="D265" s="4"/>
      <c r="E265" s="4"/>
    </row>
    <row r="266" spans="4:5" x14ac:dyDescent="0.55000000000000004">
      <c r="D266" s="4"/>
      <c r="E266" s="4"/>
    </row>
    <row r="267" spans="4:5" x14ac:dyDescent="0.55000000000000004">
      <c r="D267" s="4"/>
      <c r="E267" s="4"/>
    </row>
    <row r="268" spans="4:5" x14ac:dyDescent="0.55000000000000004">
      <c r="D268" s="4"/>
      <c r="E268" s="4"/>
    </row>
    <row r="269" spans="4:5" x14ac:dyDescent="0.55000000000000004">
      <c r="D269" s="4"/>
      <c r="E269" s="4"/>
    </row>
    <row r="270" spans="4:5" x14ac:dyDescent="0.55000000000000004">
      <c r="D270" s="4"/>
      <c r="E270" s="4"/>
    </row>
    <row r="271" spans="4:5" x14ac:dyDescent="0.55000000000000004">
      <c r="D271" s="4"/>
      <c r="E271" s="4"/>
    </row>
    <row r="272" spans="4:5" x14ac:dyDescent="0.55000000000000004">
      <c r="D272" s="4"/>
      <c r="E272" s="4"/>
    </row>
    <row r="273" spans="4:5" x14ac:dyDescent="0.55000000000000004">
      <c r="D273" s="4"/>
      <c r="E273" s="4"/>
    </row>
    <row r="274" spans="4:5" x14ac:dyDescent="0.55000000000000004">
      <c r="D274" s="4"/>
      <c r="E274" s="4"/>
    </row>
    <row r="275" spans="4:5" x14ac:dyDescent="0.55000000000000004">
      <c r="D275" s="4"/>
      <c r="E275" s="4"/>
    </row>
    <row r="276" spans="4:5" x14ac:dyDescent="0.55000000000000004">
      <c r="D276" s="4"/>
      <c r="E276" s="4"/>
    </row>
    <row r="277" spans="4:5" x14ac:dyDescent="0.55000000000000004">
      <c r="D277" s="4"/>
      <c r="E277" s="4"/>
    </row>
    <row r="278" spans="4:5" x14ac:dyDescent="0.55000000000000004">
      <c r="D278" s="4"/>
      <c r="E278" s="4"/>
    </row>
    <row r="279" spans="4:5" x14ac:dyDescent="0.55000000000000004">
      <c r="D279" s="4"/>
      <c r="E279" s="4"/>
    </row>
    <row r="280" spans="4:5" x14ac:dyDescent="0.55000000000000004">
      <c r="D280" s="4"/>
      <c r="E280" s="4"/>
    </row>
    <row r="281" spans="4:5" x14ac:dyDescent="0.55000000000000004">
      <c r="D281" s="4"/>
      <c r="E281" s="4"/>
    </row>
    <row r="282" spans="4:5" x14ac:dyDescent="0.55000000000000004">
      <c r="D282" s="4"/>
      <c r="E282" s="4"/>
    </row>
    <row r="283" spans="4:5" x14ac:dyDescent="0.55000000000000004">
      <c r="D283" s="4"/>
      <c r="E283" s="4"/>
    </row>
    <row r="284" spans="4:5" x14ac:dyDescent="0.55000000000000004">
      <c r="D284" s="4"/>
      <c r="E284" s="4"/>
    </row>
    <row r="285" spans="4:5" x14ac:dyDescent="0.55000000000000004">
      <c r="D285" s="4"/>
      <c r="E285" s="4"/>
    </row>
    <row r="286" spans="4:5" x14ac:dyDescent="0.55000000000000004">
      <c r="D286" s="4"/>
      <c r="E286" s="4"/>
    </row>
    <row r="287" spans="4:5" x14ac:dyDescent="0.55000000000000004">
      <c r="D287" s="4"/>
      <c r="E287" s="4"/>
    </row>
    <row r="288" spans="4:5" x14ac:dyDescent="0.55000000000000004">
      <c r="D288" s="4"/>
      <c r="E288" s="4"/>
    </row>
    <row r="289" spans="4:5" x14ac:dyDescent="0.55000000000000004">
      <c r="D289" s="4"/>
      <c r="E289" s="4"/>
    </row>
    <row r="290" spans="4:5" x14ac:dyDescent="0.55000000000000004">
      <c r="D290" s="4"/>
      <c r="E290" s="4"/>
    </row>
    <row r="291" spans="4:5" x14ac:dyDescent="0.55000000000000004">
      <c r="D291" s="4"/>
      <c r="E291" s="4"/>
    </row>
    <row r="292" spans="4:5" x14ac:dyDescent="0.55000000000000004">
      <c r="D292" s="4"/>
      <c r="E292" s="4"/>
    </row>
    <row r="293" spans="4:5" x14ac:dyDescent="0.55000000000000004">
      <c r="D293" s="4"/>
      <c r="E293" s="4"/>
    </row>
    <row r="294" spans="4:5" x14ac:dyDescent="0.55000000000000004">
      <c r="D294" s="4"/>
      <c r="E294" s="4"/>
    </row>
    <row r="295" spans="4:5" x14ac:dyDescent="0.55000000000000004">
      <c r="D295" s="4"/>
      <c r="E295" s="4"/>
    </row>
    <row r="296" spans="4:5" x14ac:dyDescent="0.55000000000000004">
      <c r="D296" s="4"/>
      <c r="E296" s="4"/>
    </row>
    <row r="297" spans="4:5" x14ac:dyDescent="0.55000000000000004">
      <c r="D297" s="4"/>
      <c r="E297" s="4"/>
    </row>
    <row r="298" spans="4:5" x14ac:dyDescent="0.55000000000000004">
      <c r="D298" s="4"/>
      <c r="E298" s="4"/>
    </row>
    <row r="299" spans="4:5" x14ac:dyDescent="0.55000000000000004">
      <c r="D299" s="4"/>
      <c r="E299" s="4"/>
    </row>
    <row r="300" spans="4:5" x14ac:dyDescent="0.55000000000000004">
      <c r="D300" s="4"/>
      <c r="E300" s="4"/>
    </row>
    <row r="301" spans="4:5" x14ac:dyDescent="0.55000000000000004">
      <c r="D301" s="4"/>
      <c r="E301" s="4"/>
    </row>
    <row r="302" spans="4:5" x14ac:dyDescent="0.55000000000000004">
      <c r="D302" s="4"/>
      <c r="E302" s="4"/>
    </row>
    <row r="303" spans="4:5" x14ac:dyDescent="0.55000000000000004">
      <c r="D303" s="4"/>
      <c r="E303" s="4"/>
    </row>
    <row r="304" spans="4:5" x14ac:dyDescent="0.55000000000000004">
      <c r="D304" s="4"/>
      <c r="E304" s="4"/>
    </row>
    <row r="305" spans="4:5" x14ac:dyDescent="0.55000000000000004">
      <c r="D305" s="4"/>
      <c r="E305" s="4"/>
    </row>
    <row r="306" spans="4:5" x14ac:dyDescent="0.55000000000000004">
      <c r="D306" s="4"/>
      <c r="E306" s="4"/>
    </row>
    <row r="307" spans="4:5" x14ac:dyDescent="0.55000000000000004">
      <c r="D307" s="4"/>
      <c r="E307" s="4"/>
    </row>
    <row r="308" spans="4:5" x14ac:dyDescent="0.55000000000000004">
      <c r="D308" s="4"/>
      <c r="E308" s="4"/>
    </row>
    <row r="309" spans="4:5" x14ac:dyDescent="0.55000000000000004">
      <c r="D309" s="4"/>
      <c r="E309" s="4"/>
    </row>
    <row r="310" spans="4:5" x14ac:dyDescent="0.55000000000000004">
      <c r="D310" s="4"/>
      <c r="E310" s="4"/>
    </row>
    <row r="311" spans="4:5" x14ac:dyDescent="0.55000000000000004">
      <c r="D311" s="4"/>
      <c r="E311" s="4"/>
    </row>
    <row r="312" spans="4:5" x14ac:dyDescent="0.55000000000000004">
      <c r="D312" s="4"/>
      <c r="E312" s="4"/>
    </row>
    <row r="313" spans="4:5" x14ac:dyDescent="0.55000000000000004">
      <c r="D313" s="4"/>
      <c r="E313" s="4"/>
    </row>
    <row r="314" spans="4:5" x14ac:dyDescent="0.55000000000000004">
      <c r="D314" s="4"/>
      <c r="E314" s="4"/>
    </row>
    <row r="315" spans="4:5" x14ac:dyDescent="0.55000000000000004">
      <c r="D315" s="4"/>
      <c r="E315" s="4"/>
    </row>
    <row r="316" spans="4:5" x14ac:dyDescent="0.55000000000000004">
      <c r="D316" s="4"/>
      <c r="E316" s="4"/>
    </row>
    <row r="317" spans="4:5" x14ac:dyDescent="0.55000000000000004">
      <c r="D317" s="4"/>
      <c r="E317" s="4"/>
    </row>
    <row r="318" spans="4:5" x14ac:dyDescent="0.55000000000000004">
      <c r="D318" s="4"/>
      <c r="E318" s="4"/>
    </row>
    <row r="319" spans="4:5" x14ac:dyDescent="0.55000000000000004">
      <c r="D319" s="4"/>
      <c r="E319" s="4"/>
    </row>
    <row r="320" spans="4:5" x14ac:dyDescent="0.55000000000000004">
      <c r="D320" s="4"/>
      <c r="E320" s="4"/>
    </row>
    <row r="321" spans="4:5" x14ac:dyDescent="0.55000000000000004">
      <c r="D321" s="4"/>
      <c r="E321" s="4"/>
    </row>
    <row r="322" spans="4:5" x14ac:dyDescent="0.55000000000000004">
      <c r="D322" s="4"/>
      <c r="E322" s="4"/>
    </row>
    <row r="323" spans="4:5" x14ac:dyDescent="0.55000000000000004">
      <c r="D323" s="4"/>
      <c r="E323" s="4"/>
    </row>
    <row r="324" spans="4:5" x14ac:dyDescent="0.55000000000000004">
      <c r="D324" s="4"/>
      <c r="E324" s="4"/>
    </row>
    <row r="325" spans="4:5" x14ac:dyDescent="0.55000000000000004">
      <c r="D325" s="4"/>
      <c r="E325" s="4"/>
    </row>
    <row r="326" spans="4:5" x14ac:dyDescent="0.55000000000000004">
      <c r="D326" s="4"/>
      <c r="E326" s="4"/>
    </row>
    <row r="327" spans="4:5" x14ac:dyDescent="0.55000000000000004">
      <c r="D327" s="4"/>
      <c r="E327" s="4"/>
    </row>
    <row r="328" spans="4:5" x14ac:dyDescent="0.55000000000000004">
      <c r="D328" s="4"/>
      <c r="E328" s="4"/>
    </row>
    <row r="329" spans="4:5" x14ac:dyDescent="0.55000000000000004">
      <c r="D329" s="4"/>
      <c r="E329" s="4"/>
    </row>
    <row r="330" spans="4:5" x14ac:dyDescent="0.55000000000000004">
      <c r="D330" s="4"/>
      <c r="E330" s="4"/>
    </row>
    <row r="331" spans="4:5" x14ac:dyDescent="0.55000000000000004">
      <c r="D331" s="4"/>
      <c r="E331" s="4"/>
    </row>
    <row r="332" spans="4:5" x14ac:dyDescent="0.55000000000000004">
      <c r="D332" s="4"/>
      <c r="E332" s="4"/>
    </row>
    <row r="333" spans="4:5" x14ac:dyDescent="0.55000000000000004">
      <c r="D333" s="4"/>
      <c r="E333" s="4"/>
    </row>
    <row r="334" spans="4:5" x14ac:dyDescent="0.55000000000000004">
      <c r="D334" s="4"/>
      <c r="E334" s="4"/>
    </row>
    <row r="335" spans="4:5" x14ac:dyDescent="0.55000000000000004">
      <c r="D335" s="4"/>
      <c r="E335" s="4"/>
    </row>
    <row r="336" spans="4:5" x14ac:dyDescent="0.55000000000000004">
      <c r="D336" s="4"/>
      <c r="E336" s="4"/>
    </row>
    <row r="337" spans="4:5" x14ac:dyDescent="0.55000000000000004">
      <c r="D337" s="4"/>
      <c r="E337" s="4"/>
    </row>
    <row r="338" spans="4:5" x14ac:dyDescent="0.55000000000000004">
      <c r="D338" s="4"/>
      <c r="E338" s="4"/>
    </row>
    <row r="339" spans="4:5" x14ac:dyDescent="0.55000000000000004">
      <c r="D339" s="4"/>
      <c r="E339" s="4"/>
    </row>
    <row r="340" spans="4:5" x14ac:dyDescent="0.55000000000000004">
      <c r="D340" s="4"/>
      <c r="E340" s="4"/>
    </row>
    <row r="341" spans="4:5" x14ac:dyDescent="0.55000000000000004">
      <c r="D341" s="4"/>
      <c r="E341" s="4"/>
    </row>
    <row r="342" spans="4:5" x14ac:dyDescent="0.55000000000000004">
      <c r="D342" s="4"/>
      <c r="E342" s="4"/>
    </row>
    <row r="343" spans="4:5" x14ac:dyDescent="0.55000000000000004">
      <c r="D343" s="4"/>
      <c r="E343" s="4"/>
    </row>
    <row r="344" spans="4:5" x14ac:dyDescent="0.55000000000000004">
      <c r="D344" s="4"/>
      <c r="E344" s="4"/>
    </row>
    <row r="345" spans="4:5" x14ac:dyDescent="0.55000000000000004">
      <c r="D345" s="4"/>
      <c r="E345" s="4"/>
    </row>
    <row r="346" spans="4:5" x14ac:dyDescent="0.55000000000000004">
      <c r="D346" s="4"/>
      <c r="E346" s="4"/>
    </row>
    <row r="347" spans="4:5" x14ac:dyDescent="0.55000000000000004">
      <c r="D347" s="4"/>
      <c r="E347" s="4"/>
    </row>
    <row r="348" spans="4:5" x14ac:dyDescent="0.55000000000000004">
      <c r="D348" s="4"/>
      <c r="E348" s="4"/>
    </row>
    <row r="349" spans="4:5" x14ac:dyDescent="0.55000000000000004">
      <c r="D349" s="4"/>
      <c r="E349" s="4"/>
    </row>
    <row r="350" spans="4:5" x14ac:dyDescent="0.55000000000000004">
      <c r="D350" s="4"/>
      <c r="E350" s="4"/>
    </row>
    <row r="351" spans="4:5" x14ac:dyDescent="0.55000000000000004">
      <c r="D351" s="4"/>
      <c r="E351" s="4"/>
    </row>
    <row r="352" spans="4:5" x14ac:dyDescent="0.55000000000000004">
      <c r="D352" s="4"/>
      <c r="E352" s="4"/>
    </row>
    <row r="353" spans="4:5" x14ac:dyDescent="0.55000000000000004">
      <c r="D353" s="4"/>
      <c r="E353" s="4"/>
    </row>
    <row r="354" spans="4:5" x14ac:dyDescent="0.55000000000000004">
      <c r="D354" s="4"/>
      <c r="E354" s="4"/>
    </row>
    <row r="355" spans="4:5" x14ac:dyDescent="0.55000000000000004">
      <c r="D355" s="4"/>
      <c r="E355" s="4"/>
    </row>
    <row r="356" spans="4:5" x14ac:dyDescent="0.55000000000000004">
      <c r="D356" s="4"/>
      <c r="E356" s="4"/>
    </row>
    <row r="357" spans="4:5" x14ac:dyDescent="0.55000000000000004">
      <c r="D357" s="4"/>
      <c r="E357" s="4"/>
    </row>
    <row r="358" spans="4:5" x14ac:dyDescent="0.55000000000000004">
      <c r="D358" s="4"/>
      <c r="E358" s="4"/>
    </row>
    <row r="359" spans="4:5" x14ac:dyDescent="0.55000000000000004">
      <c r="D359" s="4"/>
      <c r="E359" s="4"/>
    </row>
    <row r="360" spans="4:5" x14ac:dyDescent="0.55000000000000004">
      <c r="D360" s="4"/>
      <c r="E360" s="4"/>
    </row>
    <row r="361" spans="4:5" x14ac:dyDescent="0.55000000000000004">
      <c r="D361" s="4"/>
      <c r="E361" s="4"/>
    </row>
    <row r="362" spans="4:5" x14ac:dyDescent="0.55000000000000004">
      <c r="D362" s="4"/>
      <c r="E362" s="4"/>
    </row>
    <row r="363" spans="4:5" x14ac:dyDescent="0.55000000000000004">
      <c r="D363" s="4"/>
      <c r="E363" s="4"/>
    </row>
    <row r="364" spans="4:5" x14ac:dyDescent="0.55000000000000004">
      <c r="D364" s="4"/>
      <c r="E364" s="4"/>
    </row>
    <row r="365" spans="4:5" x14ac:dyDescent="0.55000000000000004">
      <c r="D365" s="4"/>
      <c r="E365" s="4"/>
    </row>
    <row r="366" spans="4:5" x14ac:dyDescent="0.55000000000000004">
      <c r="D366" s="4"/>
      <c r="E366" s="4"/>
    </row>
    <row r="367" spans="4:5" x14ac:dyDescent="0.55000000000000004">
      <c r="D367" s="4"/>
      <c r="E367" s="4"/>
    </row>
    <row r="368" spans="4:5" x14ac:dyDescent="0.55000000000000004">
      <c r="D368" s="4"/>
      <c r="E368" s="4"/>
    </row>
    <row r="369" spans="4:5" x14ac:dyDescent="0.55000000000000004">
      <c r="D369" s="4"/>
      <c r="E369" s="4"/>
    </row>
    <row r="370" spans="4:5" x14ac:dyDescent="0.55000000000000004">
      <c r="D370" s="4"/>
      <c r="E370" s="4"/>
    </row>
    <row r="371" spans="4:5" x14ac:dyDescent="0.55000000000000004">
      <c r="D371" s="4"/>
      <c r="E371" s="4"/>
    </row>
    <row r="372" spans="4:5" x14ac:dyDescent="0.55000000000000004">
      <c r="D372" s="4"/>
      <c r="E372" s="4"/>
    </row>
    <row r="373" spans="4:5" x14ac:dyDescent="0.55000000000000004">
      <c r="D373" s="4"/>
      <c r="E373" s="4"/>
    </row>
    <row r="374" spans="4:5" x14ac:dyDescent="0.55000000000000004">
      <c r="D374" s="4"/>
      <c r="E374" s="4"/>
    </row>
    <row r="375" spans="4:5" x14ac:dyDescent="0.55000000000000004">
      <c r="D375" s="4"/>
      <c r="E375" s="4"/>
    </row>
    <row r="376" spans="4:5" x14ac:dyDescent="0.55000000000000004">
      <c r="D376" s="4"/>
      <c r="E376" s="4"/>
    </row>
    <row r="377" spans="4:5" x14ac:dyDescent="0.55000000000000004">
      <c r="D377" s="4"/>
      <c r="E377" s="4"/>
    </row>
    <row r="378" spans="4:5" x14ac:dyDescent="0.55000000000000004">
      <c r="D378" s="4"/>
      <c r="E378" s="4"/>
    </row>
    <row r="379" spans="4:5" x14ac:dyDescent="0.55000000000000004">
      <c r="D379" s="4"/>
      <c r="E379" s="4"/>
    </row>
    <row r="380" spans="4:5" x14ac:dyDescent="0.55000000000000004">
      <c r="D380" s="4"/>
      <c r="E380" s="4"/>
    </row>
    <row r="381" spans="4:5" x14ac:dyDescent="0.55000000000000004">
      <c r="D381" s="4"/>
      <c r="E381" s="4"/>
    </row>
    <row r="382" spans="4:5" x14ac:dyDescent="0.55000000000000004">
      <c r="D382" s="4"/>
      <c r="E382" s="4"/>
    </row>
    <row r="383" spans="4:5" x14ac:dyDescent="0.55000000000000004">
      <c r="D383" s="4"/>
      <c r="E383" s="4"/>
    </row>
    <row r="384" spans="4:5" x14ac:dyDescent="0.55000000000000004">
      <c r="D384" s="4"/>
      <c r="E384" s="4"/>
    </row>
    <row r="385" spans="4:5" x14ac:dyDescent="0.55000000000000004">
      <c r="D385" s="4"/>
      <c r="E385" s="4"/>
    </row>
    <row r="386" spans="4:5" x14ac:dyDescent="0.55000000000000004">
      <c r="D386" s="4"/>
      <c r="E386" s="4"/>
    </row>
    <row r="387" spans="4:5" x14ac:dyDescent="0.55000000000000004">
      <c r="D387" s="4"/>
      <c r="E387" s="4"/>
    </row>
    <row r="388" spans="4:5" x14ac:dyDescent="0.55000000000000004">
      <c r="D388" s="4"/>
      <c r="E388" s="4"/>
    </row>
    <row r="389" spans="4:5" x14ac:dyDescent="0.55000000000000004">
      <c r="D389" s="4"/>
      <c r="E389" s="4"/>
    </row>
    <row r="390" spans="4:5" x14ac:dyDescent="0.55000000000000004">
      <c r="D390" s="4"/>
      <c r="E390" s="4"/>
    </row>
    <row r="391" spans="4:5" x14ac:dyDescent="0.55000000000000004">
      <c r="D391" s="4"/>
      <c r="E391" s="4"/>
    </row>
    <row r="392" spans="4:5" x14ac:dyDescent="0.55000000000000004">
      <c r="D392" s="4"/>
      <c r="E392" s="4"/>
    </row>
    <row r="393" spans="4:5" x14ac:dyDescent="0.55000000000000004">
      <c r="D393" s="4"/>
      <c r="E393" s="4"/>
    </row>
    <row r="394" spans="4:5" x14ac:dyDescent="0.55000000000000004">
      <c r="D394" s="4"/>
      <c r="E394" s="4"/>
    </row>
    <row r="395" spans="4:5" x14ac:dyDescent="0.55000000000000004">
      <c r="D395" s="4"/>
      <c r="E395" s="4"/>
    </row>
    <row r="396" spans="4:5" x14ac:dyDescent="0.55000000000000004">
      <c r="D396" s="4"/>
      <c r="E396" s="4"/>
    </row>
    <row r="397" spans="4:5" x14ac:dyDescent="0.55000000000000004">
      <c r="D397" s="4"/>
      <c r="E397" s="4"/>
    </row>
    <row r="398" spans="4:5" x14ac:dyDescent="0.55000000000000004">
      <c r="D398" s="4"/>
      <c r="E398" s="4"/>
    </row>
    <row r="399" spans="4:5" x14ac:dyDescent="0.55000000000000004">
      <c r="D399" s="4"/>
      <c r="E399" s="4"/>
    </row>
    <row r="400" spans="4:5" x14ac:dyDescent="0.55000000000000004">
      <c r="D400" s="4"/>
      <c r="E400" s="4"/>
    </row>
    <row r="401" spans="4:5" x14ac:dyDescent="0.55000000000000004">
      <c r="D401" s="4"/>
      <c r="E401" s="4"/>
    </row>
    <row r="402" spans="4:5" x14ac:dyDescent="0.55000000000000004">
      <c r="D402" s="4"/>
      <c r="E402" s="4"/>
    </row>
    <row r="403" spans="4:5" x14ac:dyDescent="0.55000000000000004">
      <c r="D403" s="4"/>
      <c r="E403" s="4"/>
    </row>
    <row r="404" spans="4:5" x14ac:dyDescent="0.55000000000000004">
      <c r="D404" s="4"/>
      <c r="E404" s="4"/>
    </row>
    <row r="405" spans="4:5" x14ac:dyDescent="0.55000000000000004">
      <c r="D405" s="4"/>
      <c r="E405" s="4"/>
    </row>
    <row r="406" spans="4:5" x14ac:dyDescent="0.55000000000000004">
      <c r="D406" s="4"/>
      <c r="E406" s="4"/>
    </row>
    <row r="407" spans="4:5" x14ac:dyDescent="0.55000000000000004">
      <c r="D407" s="4"/>
      <c r="E407" s="4"/>
    </row>
    <row r="408" spans="4:5" x14ac:dyDescent="0.55000000000000004">
      <c r="D408" s="4"/>
      <c r="E408" s="4"/>
    </row>
    <row r="409" spans="4:5" x14ac:dyDescent="0.55000000000000004">
      <c r="D409" s="4"/>
      <c r="E409" s="4"/>
    </row>
    <row r="410" spans="4:5" x14ac:dyDescent="0.55000000000000004">
      <c r="D410" s="4"/>
      <c r="E410" s="4"/>
    </row>
    <row r="411" spans="4:5" x14ac:dyDescent="0.55000000000000004">
      <c r="D411" s="4"/>
      <c r="E411" s="4"/>
    </row>
    <row r="412" spans="4:5" x14ac:dyDescent="0.55000000000000004">
      <c r="D412" s="4"/>
      <c r="E412" s="4"/>
    </row>
    <row r="413" spans="4:5" x14ac:dyDescent="0.55000000000000004">
      <c r="D413" s="4"/>
      <c r="E413" s="4"/>
    </row>
    <row r="414" spans="4:5" x14ac:dyDescent="0.55000000000000004">
      <c r="D414" s="4"/>
      <c r="E414" s="4"/>
    </row>
    <row r="415" spans="4:5" x14ac:dyDescent="0.55000000000000004">
      <c r="D415" s="4"/>
      <c r="E415" s="4"/>
    </row>
    <row r="416" spans="4:5" x14ac:dyDescent="0.55000000000000004">
      <c r="D416" s="4"/>
      <c r="E416" s="4"/>
    </row>
    <row r="417" spans="4:5" x14ac:dyDescent="0.55000000000000004">
      <c r="D417" s="4"/>
      <c r="E417" s="4"/>
    </row>
    <row r="418" spans="4:5" x14ac:dyDescent="0.55000000000000004">
      <c r="D418" s="4"/>
      <c r="E418" s="4"/>
    </row>
    <row r="419" spans="4:5" x14ac:dyDescent="0.55000000000000004">
      <c r="D419" s="4"/>
      <c r="E419" s="4"/>
    </row>
    <row r="420" spans="4:5" x14ac:dyDescent="0.55000000000000004">
      <c r="D420" s="4"/>
      <c r="E420" s="4"/>
    </row>
    <row r="421" spans="4:5" x14ac:dyDescent="0.55000000000000004">
      <c r="D421" s="4"/>
      <c r="E421" s="4"/>
    </row>
    <row r="422" spans="4:5" x14ac:dyDescent="0.55000000000000004">
      <c r="D422" s="4"/>
      <c r="E422" s="4"/>
    </row>
    <row r="423" spans="4:5" x14ac:dyDescent="0.55000000000000004">
      <c r="D423" s="4"/>
      <c r="E423" s="4"/>
    </row>
    <row r="424" spans="4:5" x14ac:dyDescent="0.55000000000000004">
      <c r="D424" s="4"/>
      <c r="E424" s="4"/>
    </row>
    <row r="425" spans="4:5" x14ac:dyDescent="0.55000000000000004">
      <c r="D425" s="4"/>
      <c r="E425" s="4"/>
    </row>
    <row r="426" spans="4:5" x14ac:dyDescent="0.55000000000000004">
      <c r="D426" s="4"/>
      <c r="E426" s="4"/>
    </row>
    <row r="427" spans="4:5" x14ac:dyDescent="0.55000000000000004">
      <c r="D427" s="4"/>
      <c r="E427" s="4"/>
    </row>
    <row r="428" spans="4:5" x14ac:dyDescent="0.55000000000000004">
      <c r="D428" s="4"/>
      <c r="E428" s="4"/>
    </row>
    <row r="429" spans="4:5" x14ac:dyDescent="0.55000000000000004">
      <c r="D429" s="4"/>
      <c r="E429" s="4"/>
    </row>
    <row r="430" spans="4:5" x14ac:dyDescent="0.55000000000000004">
      <c r="D430" s="4"/>
      <c r="E430" s="4"/>
    </row>
    <row r="431" spans="4:5" x14ac:dyDescent="0.55000000000000004">
      <c r="D431" s="4"/>
      <c r="E431" s="4"/>
    </row>
    <row r="432" spans="4:5" x14ac:dyDescent="0.55000000000000004">
      <c r="D432" s="4"/>
      <c r="E432" s="4"/>
    </row>
    <row r="433" spans="4:5" x14ac:dyDescent="0.55000000000000004">
      <c r="D433" s="4"/>
      <c r="E433" s="4"/>
    </row>
    <row r="434" spans="4:5" x14ac:dyDescent="0.55000000000000004">
      <c r="D434" s="4"/>
      <c r="E434" s="4"/>
    </row>
    <row r="435" spans="4:5" x14ac:dyDescent="0.55000000000000004">
      <c r="D435" s="4"/>
      <c r="E435" s="4"/>
    </row>
    <row r="436" spans="4:5" x14ac:dyDescent="0.55000000000000004">
      <c r="D436" s="4"/>
      <c r="E436" s="4"/>
    </row>
    <row r="437" spans="4:5" x14ac:dyDescent="0.55000000000000004">
      <c r="D437" s="4"/>
      <c r="E437" s="4"/>
    </row>
    <row r="438" spans="4:5" x14ac:dyDescent="0.55000000000000004">
      <c r="D438" s="4"/>
      <c r="E438" s="4"/>
    </row>
    <row r="439" spans="4:5" x14ac:dyDescent="0.55000000000000004">
      <c r="D439" s="4"/>
      <c r="E439" s="4"/>
    </row>
    <row r="440" spans="4:5" x14ac:dyDescent="0.55000000000000004">
      <c r="D440" s="4"/>
      <c r="E440" s="4"/>
    </row>
    <row r="441" spans="4:5" x14ac:dyDescent="0.55000000000000004">
      <c r="D441" s="4"/>
      <c r="E441" s="4"/>
    </row>
    <row r="442" spans="4:5" x14ac:dyDescent="0.55000000000000004">
      <c r="D442" s="4"/>
      <c r="E442" s="4"/>
    </row>
    <row r="443" spans="4:5" x14ac:dyDescent="0.55000000000000004">
      <c r="D443" s="4"/>
      <c r="E443" s="4"/>
    </row>
    <row r="444" spans="4:5" x14ac:dyDescent="0.55000000000000004">
      <c r="D444" s="4"/>
      <c r="E444" s="4"/>
    </row>
    <row r="445" spans="4:5" x14ac:dyDescent="0.55000000000000004">
      <c r="D445" s="4"/>
      <c r="E445" s="4"/>
    </row>
    <row r="446" spans="4:5" x14ac:dyDescent="0.55000000000000004">
      <c r="D446" s="4"/>
      <c r="E446" s="4"/>
    </row>
    <row r="447" spans="4:5" x14ac:dyDescent="0.55000000000000004">
      <c r="D447" s="4"/>
      <c r="E447" s="4"/>
    </row>
    <row r="448" spans="4:5" x14ac:dyDescent="0.55000000000000004">
      <c r="D448" s="4"/>
      <c r="E448" s="4"/>
    </row>
    <row r="449" spans="4:5" x14ac:dyDescent="0.55000000000000004">
      <c r="D449" s="4"/>
      <c r="E449" s="4"/>
    </row>
    <row r="450" spans="4:5" x14ac:dyDescent="0.55000000000000004">
      <c r="D450" s="4"/>
      <c r="E450" s="4"/>
    </row>
    <row r="451" spans="4:5" x14ac:dyDescent="0.55000000000000004">
      <c r="D451" s="4"/>
      <c r="E451" s="4"/>
    </row>
    <row r="452" spans="4:5" x14ac:dyDescent="0.55000000000000004">
      <c r="D452" s="4"/>
      <c r="E452" s="4"/>
    </row>
    <row r="453" spans="4:5" x14ac:dyDescent="0.55000000000000004">
      <c r="D453" s="4"/>
      <c r="E453" s="4"/>
    </row>
    <row r="454" spans="4:5" x14ac:dyDescent="0.55000000000000004">
      <c r="D454" s="4"/>
      <c r="E454" s="4"/>
    </row>
    <row r="455" spans="4:5" x14ac:dyDescent="0.55000000000000004">
      <c r="D455" s="4"/>
      <c r="E455" s="4"/>
    </row>
    <row r="456" spans="4:5" x14ac:dyDescent="0.55000000000000004">
      <c r="D456" s="4"/>
      <c r="E456" s="4"/>
    </row>
    <row r="457" spans="4:5" x14ac:dyDescent="0.55000000000000004">
      <c r="D457" s="4"/>
      <c r="E457" s="4"/>
    </row>
    <row r="458" spans="4:5" x14ac:dyDescent="0.55000000000000004">
      <c r="D458" s="4"/>
      <c r="E458" s="4"/>
    </row>
    <row r="459" spans="4:5" x14ac:dyDescent="0.55000000000000004">
      <c r="D459" s="4"/>
      <c r="E459" s="4"/>
    </row>
    <row r="460" spans="4:5" x14ac:dyDescent="0.55000000000000004">
      <c r="D460" s="4"/>
      <c r="E460" s="4"/>
    </row>
    <row r="461" spans="4:5" x14ac:dyDescent="0.55000000000000004">
      <c r="D461" s="4"/>
      <c r="E461" s="4"/>
    </row>
    <row r="462" spans="4:5" x14ac:dyDescent="0.55000000000000004">
      <c r="D462" s="4"/>
      <c r="E462" s="4"/>
    </row>
    <row r="463" spans="4:5" x14ac:dyDescent="0.55000000000000004">
      <c r="D463" s="4"/>
      <c r="E463" s="4"/>
    </row>
    <row r="464" spans="4:5" x14ac:dyDescent="0.55000000000000004">
      <c r="D464" s="4"/>
      <c r="E464" s="4"/>
    </row>
    <row r="465" spans="4:5" x14ac:dyDescent="0.55000000000000004">
      <c r="D465" s="4"/>
      <c r="E465" s="4"/>
    </row>
    <row r="466" spans="4:5" x14ac:dyDescent="0.55000000000000004">
      <c r="D466" s="4"/>
      <c r="E466" s="4"/>
    </row>
    <row r="467" spans="4:5" x14ac:dyDescent="0.55000000000000004">
      <c r="D467" s="4"/>
      <c r="E467" s="4"/>
    </row>
    <row r="468" spans="4:5" x14ac:dyDescent="0.55000000000000004">
      <c r="D468" s="4"/>
      <c r="E468" s="4"/>
    </row>
    <row r="469" spans="4:5" x14ac:dyDescent="0.55000000000000004">
      <c r="D469" s="4"/>
      <c r="E469" s="4"/>
    </row>
    <row r="470" spans="4:5" x14ac:dyDescent="0.55000000000000004">
      <c r="D470" s="4"/>
      <c r="E470" s="4"/>
    </row>
    <row r="471" spans="4:5" x14ac:dyDescent="0.55000000000000004">
      <c r="D471" s="4"/>
      <c r="E471" s="4"/>
    </row>
    <row r="472" spans="4:5" x14ac:dyDescent="0.55000000000000004">
      <c r="D472" s="4"/>
      <c r="E472" s="4"/>
    </row>
    <row r="473" spans="4:5" x14ac:dyDescent="0.55000000000000004">
      <c r="D473" s="4"/>
      <c r="E473" s="4"/>
    </row>
    <row r="474" spans="4:5" x14ac:dyDescent="0.55000000000000004">
      <c r="D474" s="4"/>
      <c r="E474" s="4"/>
    </row>
    <row r="475" spans="4:5" x14ac:dyDescent="0.55000000000000004">
      <c r="D475" s="4"/>
      <c r="E475" s="4"/>
    </row>
    <row r="476" spans="4:5" x14ac:dyDescent="0.55000000000000004">
      <c r="D476" s="4"/>
      <c r="E476" s="4"/>
    </row>
    <row r="477" spans="4:5" x14ac:dyDescent="0.55000000000000004">
      <c r="D477" s="4"/>
      <c r="E477" s="4"/>
    </row>
    <row r="478" spans="4:5" x14ac:dyDescent="0.55000000000000004">
      <c r="D478" s="4"/>
      <c r="E478" s="4"/>
    </row>
    <row r="479" spans="4:5" x14ac:dyDescent="0.55000000000000004">
      <c r="D479" s="4"/>
      <c r="E479" s="4"/>
    </row>
    <row r="480" spans="4:5" x14ac:dyDescent="0.55000000000000004">
      <c r="D480" s="4"/>
      <c r="E480" s="4"/>
    </row>
    <row r="481" spans="4:5" x14ac:dyDescent="0.55000000000000004">
      <c r="D481" s="4"/>
      <c r="E481" s="4"/>
    </row>
    <row r="482" spans="4:5" x14ac:dyDescent="0.55000000000000004">
      <c r="D482" s="4"/>
      <c r="E482" s="4"/>
    </row>
    <row r="483" spans="4:5" x14ac:dyDescent="0.55000000000000004">
      <c r="D483" s="4"/>
      <c r="E483" s="4"/>
    </row>
    <row r="484" spans="4:5" x14ac:dyDescent="0.55000000000000004">
      <c r="D484" s="4"/>
      <c r="E484" s="4"/>
    </row>
    <row r="485" spans="4:5" x14ac:dyDescent="0.55000000000000004">
      <c r="D485" s="4"/>
      <c r="E485" s="4"/>
    </row>
    <row r="486" spans="4:5" x14ac:dyDescent="0.55000000000000004">
      <c r="D486" s="4"/>
      <c r="E486" s="4"/>
    </row>
    <row r="487" spans="4:5" x14ac:dyDescent="0.55000000000000004">
      <c r="D487" s="4"/>
      <c r="E487" s="4"/>
    </row>
    <row r="488" spans="4:5" x14ac:dyDescent="0.55000000000000004">
      <c r="D488" s="4"/>
      <c r="E488" s="4"/>
    </row>
    <row r="489" spans="4:5" x14ac:dyDescent="0.55000000000000004">
      <c r="D489" s="4"/>
      <c r="E489" s="4"/>
    </row>
    <row r="490" spans="4:5" x14ac:dyDescent="0.55000000000000004">
      <c r="D490" s="4"/>
      <c r="E490" s="4"/>
    </row>
    <row r="491" spans="4:5" x14ac:dyDescent="0.55000000000000004">
      <c r="D491" s="4"/>
      <c r="E491" s="4"/>
    </row>
    <row r="492" spans="4:5" x14ac:dyDescent="0.55000000000000004">
      <c r="D492" s="4"/>
      <c r="E492" s="4"/>
    </row>
    <row r="493" spans="4:5" x14ac:dyDescent="0.55000000000000004">
      <c r="D493" s="4"/>
      <c r="E493" s="4"/>
    </row>
    <row r="494" spans="4:5" x14ac:dyDescent="0.55000000000000004">
      <c r="D494" s="4"/>
      <c r="E494" s="4"/>
    </row>
    <row r="495" spans="4:5" x14ac:dyDescent="0.55000000000000004">
      <c r="D495" s="4"/>
      <c r="E495" s="4"/>
    </row>
    <row r="496" spans="4:5" x14ac:dyDescent="0.55000000000000004">
      <c r="D496" s="4"/>
      <c r="E496" s="4"/>
    </row>
    <row r="497" spans="4:5" x14ac:dyDescent="0.55000000000000004">
      <c r="D497" s="4"/>
      <c r="E497" s="4"/>
    </row>
    <row r="498" spans="4:5" x14ac:dyDescent="0.55000000000000004">
      <c r="D498" s="4"/>
      <c r="E498" s="4"/>
    </row>
    <row r="499" spans="4:5" x14ac:dyDescent="0.55000000000000004">
      <c r="D499" s="4"/>
      <c r="E499" s="4"/>
    </row>
    <row r="500" spans="4:5" x14ac:dyDescent="0.55000000000000004">
      <c r="D500" s="4"/>
      <c r="E500" s="4"/>
    </row>
    <row r="501" spans="4:5" x14ac:dyDescent="0.55000000000000004">
      <c r="D501" s="4"/>
      <c r="E501" s="4"/>
    </row>
    <row r="502" spans="4:5" x14ac:dyDescent="0.55000000000000004">
      <c r="D502" s="4"/>
      <c r="E502" s="4"/>
    </row>
    <row r="503" spans="4:5" x14ac:dyDescent="0.55000000000000004">
      <c r="D503" s="4"/>
      <c r="E503" s="4"/>
    </row>
    <row r="504" spans="4:5" x14ac:dyDescent="0.55000000000000004">
      <c r="D504" s="4"/>
      <c r="E504" s="4"/>
    </row>
    <row r="505" spans="4:5" x14ac:dyDescent="0.55000000000000004">
      <c r="D505" s="4"/>
      <c r="E505" s="4"/>
    </row>
    <row r="506" spans="4:5" x14ac:dyDescent="0.55000000000000004">
      <c r="D506" s="4"/>
      <c r="E506" s="4"/>
    </row>
    <row r="507" spans="4:5" x14ac:dyDescent="0.55000000000000004">
      <c r="D507" s="4"/>
      <c r="E507" s="4"/>
    </row>
    <row r="508" spans="4:5" x14ac:dyDescent="0.55000000000000004">
      <c r="D508" s="4"/>
      <c r="E508" s="4"/>
    </row>
    <row r="509" spans="4:5" x14ac:dyDescent="0.55000000000000004">
      <c r="D509" s="4"/>
      <c r="E509" s="4"/>
    </row>
    <row r="510" spans="4:5" x14ac:dyDescent="0.55000000000000004">
      <c r="D510" s="4"/>
      <c r="E510" s="4"/>
    </row>
    <row r="511" spans="4:5" x14ac:dyDescent="0.55000000000000004">
      <c r="D511" s="4"/>
      <c r="E511" s="4"/>
    </row>
    <row r="512" spans="4:5" x14ac:dyDescent="0.55000000000000004">
      <c r="D512" s="4"/>
      <c r="E512" s="4"/>
    </row>
    <row r="513" spans="4:5" x14ac:dyDescent="0.55000000000000004">
      <c r="D513" s="4"/>
      <c r="E513" s="4"/>
    </row>
    <row r="514" spans="4:5" x14ac:dyDescent="0.55000000000000004">
      <c r="D514" s="4"/>
      <c r="E514" s="4"/>
    </row>
    <row r="515" spans="4:5" x14ac:dyDescent="0.55000000000000004">
      <c r="D515" s="4"/>
      <c r="E515" s="4"/>
    </row>
    <row r="516" spans="4:5" x14ac:dyDescent="0.55000000000000004">
      <c r="D516" s="4"/>
      <c r="E516" s="4"/>
    </row>
    <row r="517" spans="4:5" x14ac:dyDescent="0.55000000000000004">
      <c r="D517" s="4"/>
      <c r="E517" s="4"/>
    </row>
    <row r="518" spans="4:5" x14ac:dyDescent="0.55000000000000004">
      <c r="D518" s="4"/>
      <c r="E518" s="4"/>
    </row>
    <row r="519" spans="4:5" x14ac:dyDescent="0.55000000000000004">
      <c r="D519" s="4"/>
      <c r="E519" s="4"/>
    </row>
    <row r="520" spans="4:5" x14ac:dyDescent="0.55000000000000004">
      <c r="D520" s="4"/>
      <c r="E520" s="4"/>
    </row>
    <row r="521" spans="4:5" x14ac:dyDescent="0.55000000000000004">
      <c r="D521" s="4"/>
      <c r="E521" s="4"/>
    </row>
    <row r="522" spans="4:5" x14ac:dyDescent="0.55000000000000004">
      <c r="D522" s="4"/>
      <c r="E522" s="4"/>
    </row>
    <row r="523" spans="4:5" x14ac:dyDescent="0.55000000000000004">
      <c r="D523" s="4"/>
      <c r="E523" s="4"/>
    </row>
    <row r="524" spans="4:5" x14ac:dyDescent="0.55000000000000004">
      <c r="D524" s="4"/>
      <c r="E524" s="4"/>
    </row>
    <row r="525" spans="4:5" x14ac:dyDescent="0.55000000000000004">
      <c r="D525" s="4"/>
      <c r="E525" s="4"/>
    </row>
    <row r="526" spans="4:5" x14ac:dyDescent="0.55000000000000004">
      <c r="D526" s="4"/>
      <c r="E526" s="4"/>
    </row>
    <row r="527" spans="4:5" x14ac:dyDescent="0.55000000000000004">
      <c r="D527" s="4"/>
      <c r="E527" s="4"/>
    </row>
    <row r="528" spans="4:5" x14ac:dyDescent="0.55000000000000004">
      <c r="D528" s="4"/>
      <c r="E528" s="4"/>
    </row>
    <row r="529" spans="4:5" x14ac:dyDescent="0.55000000000000004">
      <c r="D529" s="4"/>
      <c r="E529" s="4"/>
    </row>
    <row r="530" spans="4:5" x14ac:dyDescent="0.55000000000000004">
      <c r="D530" s="4"/>
      <c r="E530" s="4"/>
    </row>
    <row r="531" spans="4:5" x14ac:dyDescent="0.55000000000000004">
      <c r="D531" s="4"/>
      <c r="E531" s="4"/>
    </row>
    <row r="532" spans="4:5" x14ac:dyDescent="0.55000000000000004">
      <c r="D532" s="4"/>
      <c r="E532" s="4"/>
    </row>
    <row r="533" spans="4:5" x14ac:dyDescent="0.55000000000000004">
      <c r="D533" s="4"/>
      <c r="E533" s="4"/>
    </row>
    <row r="534" spans="4:5" x14ac:dyDescent="0.55000000000000004">
      <c r="D534" s="4"/>
      <c r="E534" s="4"/>
    </row>
    <row r="535" spans="4:5" x14ac:dyDescent="0.55000000000000004">
      <c r="D535" s="4"/>
      <c r="E535" s="4"/>
    </row>
    <row r="536" spans="4:5" x14ac:dyDescent="0.55000000000000004">
      <c r="D536" s="4"/>
      <c r="E536" s="4"/>
    </row>
    <row r="537" spans="4:5" x14ac:dyDescent="0.55000000000000004">
      <c r="D537" s="4"/>
      <c r="E537" s="4"/>
    </row>
    <row r="538" spans="4:5" x14ac:dyDescent="0.55000000000000004">
      <c r="D538" s="4"/>
      <c r="E538" s="4"/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477F59-0AAD-4FD4-B341-F8618EC5F4E7}">
  <dimension ref="A1:M161"/>
  <sheetViews>
    <sheetView workbookViewId="0">
      <selection activeCell="G22" sqref="G22"/>
    </sheetView>
  </sheetViews>
  <sheetFormatPr defaultRowHeight="14.4" x14ac:dyDescent="0.55000000000000004"/>
  <cols>
    <col min="1" max="3" width="8.83984375" style="3"/>
    <col min="4" max="4" width="10.83984375" customWidth="1"/>
    <col min="5" max="5" width="6.734375" customWidth="1"/>
  </cols>
  <sheetData>
    <row r="1" spans="1:13" x14ac:dyDescent="0.55000000000000004">
      <c r="A1" s="3" t="s">
        <v>0</v>
      </c>
      <c r="B1" s="3" t="s">
        <v>1</v>
      </c>
      <c r="C1" s="3" t="s">
        <v>2</v>
      </c>
      <c r="D1" s="4" t="s">
        <v>3</v>
      </c>
      <c r="E1" s="4" t="s">
        <v>17</v>
      </c>
    </row>
    <row r="2" spans="1:13" x14ac:dyDescent="0.55000000000000004">
      <c r="A2" s="3" t="s">
        <v>4</v>
      </c>
      <c r="B2" s="3" t="s">
        <v>5</v>
      </c>
      <c r="C2" s="3" t="s">
        <v>6</v>
      </c>
      <c r="D2" s="4" t="s">
        <v>7</v>
      </c>
      <c r="E2" s="4" t="s">
        <v>16</v>
      </c>
    </row>
    <row r="3" spans="1:13" x14ac:dyDescent="0.55000000000000004">
      <c r="A3" s="3">
        <v>21.1</v>
      </c>
      <c r="B3" s="3">
        <v>1.7565999999999999</v>
      </c>
      <c r="C3" s="3">
        <v>17.71</v>
      </c>
      <c r="D3" s="4">
        <f>((B3/$L$3))-0.0158252252252252</f>
        <v>0</v>
      </c>
      <c r="E3" s="4">
        <f t="shared" ref="E3:E47" si="0">C3/$L$4</f>
        <v>0.29516666666666669</v>
      </c>
      <c r="K3" t="s">
        <v>15</v>
      </c>
      <c r="L3">
        <v>111</v>
      </c>
      <c r="M3" t="s">
        <v>9</v>
      </c>
    </row>
    <row r="4" spans="1:13" x14ac:dyDescent="0.55000000000000004">
      <c r="A4" s="3">
        <v>21.2</v>
      </c>
      <c r="B4" s="3">
        <v>1.7648999999999999</v>
      </c>
      <c r="C4" s="3">
        <v>21.74</v>
      </c>
      <c r="D4" s="4">
        <f t="shared" ref="D4:D67" si="1">((B4/$L$3))-0.0158252252252252</f>
        <v>7.4774774774799546E-5</v>
      </c>
      <c r="E4" s="4">
        <f t="shared" si="0"/>
        <v>0.36233333333333329</v>
      </c>
      <c r="K4" t="s">
        <v>14</v>
      </c>
      <c r="L4">
        <f>10*6</f>
        <v>60</v>
      </c>
      <c r="M4" t="s">
        <v>13</v>
      </c>
    </row>
    <row r="5" spans="1:13" x14ac:dyDescent="0.55000000000000004">
      <c r="A5" s="3">
        <v>21.3</v>
      </c>
      <c r="B5" s="3">
        <v>1.7733000000000001</v>
      </c>
      <c r="C5" s="3">
        <v>24.96</v>
      </c>
      <c r="D5" s="4">
        <f t="shared" si="1"/>
        <v>1.5045045045047542E-4</v>
      </c>
      <c r="E5" s="4">
        <f t="shared" si="0"/>
        <v>0.41600000000000004</v>
      </c>
    </row>
    <row r="6" spans="1:13" x14ac:dyDescent="0.55000000000000004">
      <c r="A6" s="3">
        <v>21.4</v>
      </c>
      <c r="B6" s="3">
        <v>1.7816000000000001</v>
      </c>
      <c r="C6" s="3">
        <v>28.99</v>
      </c>
      <c r="D6" s="4">
        <f t="shared" si="1"/>
        <v>2.2522522522525068E-4</v>
      </c>
      <c r="E6" s="4">
        <f t="shared" si="0"/>
        <v>0.48316666666666663</v>
      </c>
    </row>
    <row r="7" spans="1:13" x14ac:dyDescent="0.55000000000000004">
      <c r="A7" s="3">
        <v>21.5</v>
      </c>
      <c r="B7" s="3">
        <v>1.7899</v>
      </c>
      <c r="C7" s="3">
        <v>33.82</v>
      </c>
      <c r="D7" s="4">
        <f t="shared" si="1"/>
        <v>3.0000000000002594E-4</v>
      </c>
      <c r="E7" s="4">
        <f t="shared" si="0"/>
        <v>0.56366666666666665</v>
      </c>
    </row>
    <row r="8" spans="1:13" x14ac:dyDescent="0.55000000000000004">
      <c r="A8" s="3">
        <v>21.6</v>
      </c>
      <c r="B8" s="3">
        <v>1.7982</v>
      </c>
      <c r="C8" s="3">
        <v>38.65</v>
      </c>
      <c r="D8" s="4">
        <f t="shared" si="1"/>
        <v>3.7477477477479773E-4</v>
      </c>
      <c r="E8" s="4">
        <f t="shared" si="0"/>
        <v>0.64416666666666667</v>
      </c>
    </row>
    <row r="9" spans="1:13" x14ac:dyDescent="0.55000000000000004">
      <c r="A9" s="3">
        <v>21.7</v>
      </c>
      <c r="B9" s="3">
        <v>1.8066</v>
      </c>
      <c r="C9" s="3">
        <v>43.48</v>
      </c>
      <c r="D9" s="4">
        <f t="shared" si="1"/>
        <v>4.5045045045047361E-4</v>
      </c>
      <c r="E9" s="4">
        <f t="shared" si="0"/>
        <v>0.72466666666666657</v>
      </c>
    </row>
    <row r="10" spans="1:13" x14ac:dyDescent="0.55000000000000004">
      <c r="A10" s="3">
        <v>21.8</v>
      </c>
      <c r="B10" s="3">
        <v>1.8149</v>
      </c>
      <c r="C10" s="3">
        <v>49.12</v>
      </c>
      <c r="D10" s="4">
        <f t="shared" si="1"/>
        <v>5.2522522522524887E-4</v>
      </c>
      <c r="E10" s="4">
        <f t="shared" si="0"/>
        <v>0.81866666666666665</v>
      </c>
    </row>
    <row r="11" spans="1:13" x14ac:dyDescent="0.55000000000000004">
      <c r="A11" s="3">
        <v>21.9</v>
      </c>
      <c r="B11" s="3">
        <v>1.8232999999999999</v>
      </c>
      <c r="C11" s="3">
        <v>53.95</v>
      </c>
      <c r="D11" s="4">
        <f t="shared" si="1"/>
        <v>6.0090090090092474E-4</v>
      </c>
      <c r="E11" s="4">
        <f t="shared" si="0"/>
        <v>0.89916666666666667</v>
      </c>
    </row>
    <row r="12" spans="1:13" x14ac:dyDescent="0.55000000000000004">
      <c r="A12" s="3">
        <v>22</v>
      </c>
      <c r="B12" s="3">
        <v>1.8315999999999999</v>
      </c>
      <c r="C12" s="3">
        <v>59.59</v>
      </c>
      <c r="D12" s="4">
        <f t="shared" si="1"/>
        <v>6.756756756757E-4</v>
      </c>
      <c r="E12" s="4">
        <f t="shared" si="0"/>
        <v>0.99316666666666675</v>
      </c>
    </row>
    <row r="13" spans="1:13" x14ac:dyDescent="0.55000000000000004">
      <c r="A13" s="3">
        <v>22.1</v>
      </c>
      <c r="B13" s="3">
        <v>1.8399000000000001</v>
      </c>
      <c r="C13" s="3">
        <v>64.42</v>
      </c>
      <c r="D13" s="4">
        <f t="shared" si="1"/>
        <v>7.5045045045047526E-4</v>
      </c>
      <c r="E13" s="4">
        <f t="shared" si="0"/>
        <v>1.0736666666666668</v>
      </c>
    </row>
    <row r="14" spans="1:13" x14ac:dyDescent="0.55000000000000004">
      <c r="A14" s="3">
        <v>22.2</v>
      </c>
      <c r="B14" s="3">
        <v>1.8483000000000001</v>
      </c>
      <c r="C14" s="3">
        <v>69.260000000000005</v>
      </c>
      <c r="D14" s="4">
        <f t="shared" si="1"/>
        <v>8.2612612612615113E-4</v>
      </c>
      <c r="E14" s="4">
        <f t="shared" si="0"/>
        <v>1.1543333333333334</v>
      </c>
    </row>
    <row r="15" spans="1:13" x14ac:dyDescent="0.55000000000000004">
      <c r="A15" s="3">
        <v>22.3</v>
      </c>
      <c r="B15" s="3">
        <v>1.8566</v>
      </c>
      <c r="C15" s="3">
        <v>74.89</v>
      </c>
      <c r="D15" s="4">
        <f t="shared" si="1"/>
        <v>9.0090090090092639E-4</v>
      </c>
      <c r="E15" s="4">
        <f t="shared" si="0"/>
        <v>1.2481666666666666</v>
      </c>
    </row>
    <row r="16" spans="1:13" x14ac:dyDescent="0.55000000000000004">
      <c r="A16" s="3">
        <v>22.4</v>
      </c>
      <c r="B16" s="3">
        <v>1.8649</v>
      </c>
      <c r="C16" s="3">
        <v>79.72</v>
      </c>
      <c r="D16" s="4">
        <f t="shared" si="1"/>
        <v>9.7567567567569818E-4</v>
      </c>
      <c r="E16" s="4">
        <f t="shared" si="0"/>
        <v>1.3286666666666667</v>
      </c>
    </row>
    <row r="17" spans="1:13" x14ac:dyDescent="0.55000000000000004">
      <c r="A17" s="3">
        <v>22.5</v>
      </c>
      <c r="B17" s="3">
        <v>1.8732</v>
      </c>
      <c r="C17" s="3">
        <v>85.36</v>
      </c>
      <c r="D17" s="4">
        <f t="shared" si="1"/>
        <v>1.0504504504504734E-3</v>
      </c>
      <c r="E17" s="4">
        <f t="shared" si="0"/>
        <v>1.4226666666666667</v>
      </c>
    </row>
    <row r="18" spans="1:13" x14ac:dyDescent="0.55000000000000004">
      <c r="A18" s="3">
        <v>22.6</v>
      </c>
      <c r="B18" s="3">
        <v>1.8815999999999999</v>
      </c>
      <c r="C18" s="3">
        <v>90.19</v>
      </c>
      <c r="D18" s="4">
        <f t="shared" si="1"/>
        <v>1.1261261261261493E-3</v>
      </c>
      <c r="E18" s="4">
        <f t="shared" si="0"/>
        <v>1.5031666666666665</v>
      </c>
    </row>
    <row r="19" spans="1:13" x14ac:dyDescent="0.55000000000000004">
      <c r="A19" s="3">
        <v>22.7</v>
      </c>
      <c r="B19" s="3">
        <v>1.8898999999999999</v>
      </c>
      <c r="C19" s="3">
        <v>95.83</v>
      </c>
      <c r="D19" s="4">
        <f t="shared" si="1"/>
        <v>1.2009009009009246E-3</v>
      </c>
      <c r="E19" s="4">
        <f t="shared" si="0"/>
        <v>1.5971666666666666</v>
      </c>
    </row>
    <row r="20" spans="1:13" x14ac:dyDescent="0.55000000000000004">
      <c r="A20" s="3">
        <v>22.8</v>
      </c>
      <c r="B20" s="3">
        <v>1.8983000000000001</v>
      </c>
      <c r="C20" s="3">
        <v>100.66</v>
      </c>
      <c r="D20" s="4">
        <f t="shared" si="1"/>
        <v>1.2765765765766005E-3</v>
      </c>
      <c r="E20" s="4">
        <f t="shared" si="0"/>
        <v>1.6776666666666666</v>
      </c>
    </row>
    <row r="21" spans="1:13" x14ac:dyDescent="0.55000000000000004">
      <c r="A21" s="3">
        <v>22.9</v>
      </c>
      <c r="B21" s="3">
        <v>1.9066000000000001</v>
      </c>
      <c r="C21" s="3">
        <v>106.3</v>
      </c>
      <c r="D21" s="4">
        <f t="shared" si="1"/>
        <v>1.3513513513513757E-3</v>
      </c>
      <c r="E21" s="4">
        <f t="shared" si="0"/>
        <v>1.7716666666666667</v>
      </c>
    </row>
    <row r="22" spans="1:13" x14ac:dyDescent="0.55000000000000004">
      <c r="A22" s="3">
        <v>23</v>
      </c>
      <c r="B22" s="3">
        <v>1.9149</v>
      </c>
      <c r="C22" s="3">
        <v>111.13</v>
      </c>
      <c r="D22" s="4">
        <f t="shared" si="1"/>
        <v>1.426126126126151E-3</v>
      </c>
      <c r="E22" s="4">
        <f t="shared" si="0"/>
        <v>1.8521666666666665</v>
      </c>
    </row>
    <row r="23" spans="1:13" x14ac:dyDescent="0.55000000000000004">
      <c r="A23" s="3">
        <v>23.1</v>
      </c>
      <c r="B23" s="3">
        <v>1.9233</v>
      </c>
      <c r="C23" s="3">
        <v>115.97</v>
      </c>
      <c r="D23" s="4">
        <f t="shared" si="1"/>
        <v>1.5018018018018268E-3</v>
      </c>
      <c r="E23" s="4">
        <f t="shared" si="0"/>
        <v>1.9328333333333334</v>
      </c>
    </row>
    <row r="24" spans="1:13" x14ac:dyDescent="0.55000000000000004">
      <c r="A24" s="3">
        <v>23.2</v>
      </c>
      <c r="B24" s="3">
        <v>1.9316</v>
      </c>
      <c r="C24" s="3">
        <v>120.8</v>
      </c>
      <c r="D24" s="4">
        <f t="shared" si="1"/>
        <v>1.5765765765765986E-3</v>
      </c>
      <c r="E24" s="4">
        <f t="shared" si="0"/>
        <v>2.0133333333333332</v>
      </c>
    </row>
    <row r="25" spans="1:13" x14ac:dyDescent="0.55000000000000004">
      <c r="A25" s="3">
        <v>23.3</v>
      </c>
      <c r="B25" s="3">
        <v>1.9399</v>
      </c>
      <c r="C25" s="3">
        <v>125.63</v>
      </c>
      <c r="D25" s="4">
        <f t="shared" si="1"/>
        <v>1.6513513513513739E-3</v>
      </c>
      <c r="E25" s="4">
        <f t="shared" si="0"/>
        <v>2.0938333333333334</v>
      </c>
    </row>
    <row r="26" spans="1:13" x14ac:dyDescent="0.55000000000000004">
      <c r="A26" s="3">
        <v>23.4</v>
      </c>
      <c r="B26" s="3">
        <v>1.9481999999999999</v>
      </c>
      <c r="C26" s="3">
        <v>131.27001000000001</v>
      </c>
      <c r="D26" s="4">
        <f t="shared" si="1"/>
        <v>1.7261261261261492E-3</v>
      </c>
      <c r="E26" s="4">
        <f t="shared" si="0"/>
        <v>2.1878335000000004</v>
      </c>
      <c r="J26" s="5" t="s">
        <v>12</v>
      </c>
      <c r="K26" s="5"/>
      <c r="L26" s="6">
        <f>MAX(E:E)</f>
        <v>9.3285003333333325</v>
      </c>
      <c r="M26" s="5" t="s">
        <v>11</v>
      </c>
    </row>
    <row r="27" spans="1:13" x14ac:dyDescent="0.55000000000000004">
      <c r="A27" s="3">
        <v>23.5</v>
      </c>
      <c r="B27" s="3">
        <v>1.9565999999999999</v>
      </c>
      <c r="C27" s="3">
        <v>136.09998999999999</v>
      </c>
      <c r="D27" s="4">
        <f t="shared" si="1"/>
        <v>1.801801801801825E-3</v>
      </c>
      <c r="E27" s="4">
        <f t="shared" si="0"/>
        <v>2.2683331666666664</v>
      </c>
      <c r="J27" s="5" t="s">
        <v>10</v>
      </c>
      <c r="K27" s="5"/>
      <c r="L27" s="5">
        <v>1.133603603603606E-2</v>
      </c>
      <c r="M27" s="5" t="s">
        <v>18</v>
      </c>
    </row>
    <row r="28" spans="1:13" x14ac:dyDescent="0.55000000000000004">
      <c r="A28" s="3">
        <v>23.6</v>
      </c>
      <c r="B28" s="3">
        <v>1.9649000000000001</v>
      </c>
      <c r="C28" s="3">
        <v>140.93</v>
      </c>
      <c r="D28" s="4">
        <f t="shared" si="1"/>
        <v>1.8765765765766003E-3</v>
      </c>
      <c r="E28" s="4">
        <f t="shared" si="0"/>
        <v>2.3488333333333333</v>
      </c>
    </row>
    <row r="29" spans="1:13" x14ac:dyDescent="0.55000000000000004">
      <c r="A29" s="3">
        <v>23.7</v>
      </c>
      <c r="B29" s="3">
        <v>1.9733000000000001</v>
      </c>
      <c r="C29" s="3">
        <v>145.76</v>
      </c>
      <c r="D29" s="4">
        <f t="shared" si="1"/>
        <v>1.9522522522522762E-3</v>
      </c>
      <c r="E29" s="4">
        <f t="shared" si="0"/>
        <v>2.4293333333333331</v>
      </c>
    </row>
    <row r="30" spans="1:13" x14ac:dyDescent="0.55000000000000004">
      <c r="A30" s="3">
        <v>23.8</v>
      </c>
      <c r="B30" s="3">
        <v>1.9816</v>
      </c>
      <c r="C30" s="3">
        <v>150.6</v>
      </c>
      <c r="D30" s="4">
        <f t="shared" si="1"/>
        <v>2.0270270270270514E-3</v>
      </c>
      <c r="E30" s="4">
        <f t="shared" si="0"/>
        <v>2.5099999999999998</v>
      </c>
    </row>
    <row r="31" spans="1:13" x14ac:dyDescent="0.55000000000000004">
      <c r="A31" s="3">
        <v>23.9</v>
      </c>
      <c r="B31" s="3">
        <v>1.9899</v>
      </c>
      <c r="C31" s="3">
        <v>155.43</v>
      </c>
      <c r="D31" s="4">
        <f t="shared" si="1"/>
        <v>2.1018018018018267E-3</v>
      </c>
      <c r="E31" s="4">
        <f t="shared" si="0"/>
        <v>2.5905</v>
      </c>
    </row>
    <row r="32" spans="1:13" x14ac:dyDescent="0.55000000000000004">
      <c r="A32" s="3">
        <v>24</v>
      </c>
      <c r="B32" s="3">
        <v>1.9983</v>
      </c>
      <c r="C32" s="3">
        <v>161.07</v>
      </c>
      <c r="D32" s="4">
        <f t="shared" si="1"/>
        <v>2.1774774774775026E-3</v>
      </c>
      <c r="E32" s="4">
        <f t="shared" si="0"/>
        <v>2.6844999999999999</v>
      </c>
    </row>
    <row r="33" spans="1:5" x14ac:dyDescent="0.55000000000000004">
      <c r="A33" s="3">
        <v>24.1</v>
      </c>
      <c r="B33" s="3">
        <v>2.0066000000000002</v>
      </c>
      <c r="C33" s="3">
        <v>165.90001000000001</v>
      </c>
      <c r="D33" s="4">
        <f t="shared" si="1"/>
        <v>2.2522522522522778E-3</v>
      </c>
      <c r="E33" s="4">
        <f t="shared" si="0"/>
        <v>2.7650001666666668</v>
      </c>
    </row>
    <row r="34" spans="1:5" x14ac:dyDescent="0.55000000000000004">
      <c r="A34" s="3">
        <v>24.2</v>
      </c>
      <c r="B34" s="3">
        <v>2.0148999999999999</v>
      </c>
      <c r="C34" s="3">
        <v>170.72998999999999</v>
      </c>
      <c r="D34" s="4">
        <f t="shared" si="1"/>
        <v>2.3270270270270496E-3</v>
      </c>
      <c r="E34" s="4">
        <f t="shared" si="0"/>
        <v>2.8454998333333332</v>
      </c>
    </row>
    <row r="35" spans="1:5" x14ac:dyDescent="0.55000000000000004">
      <c r="A35" s="3">
        <v>24.3</v>
      </c>
      <c r="B35" s="3">
        <v>2.0232000000000001</v>
      </c>
      <c r="C35" s="3">
        <v>174.76</v>
      </c>
      <c r="D35" s="4">
        <f t="shared" si="1"/>
        <v>2.4018018018018283E-3</v>
      </c>
      <c r="E35" s="4">
        <f t="shared" si="0"/>
        <v>2.9126666666666665</v>
      </c>
    </row>
    <row r="36" spans="1:5" x14ac:dyDescent="0.55000000000000004">
      <c r="A36" s="3">
        <v>24.4</v>
      </c>
      <c r="B36" s="3">
        <v>2.0316000000000001</v>
      </c>
      <c r="C36" s="3">
        <v>180.39</v>
      </c>
      <c r="D36" s="4">
        <f t="shared" si="1"/>
        <v>2.4774774774775007E-3</v>
      </c>
      <c r="E36" s="4">
        <f t="shared" si="0"/>
        <v>3.0065</v>
      </c>
    </row>
    <row r="37" spans="1:5" x14ac:dyDescent="0.55000000000000004">
      <c r="A37" s="3">
        <v>24.5</v>
      </c>
      <c r="B37" s="3">
        <v>2.0398999999999998</v>
      </c>
      <c r="C37" s="3">
        <v>184.42</v>
      </c>
      <c r="D37" s="4">
        <f t="shared" si="1"/>
        <v>2.552252252252276E-3</v>
      </c>
      <c r="E37" s="4">
        <f t="shared" si="0"/>
        <v>3.0736666666666665</v>
      </c>
    </row>
    <row r="38" spans="1:5" x14ac:dyDescent="0.55000000000000004">
      <c r="A38" s="3">
        <v>24.6</v>
      </c>
      <c r="B38" s="3">
        <v>2.0482999999999998</v>
      </c>
      <c r="C38" s="3">
        <v>189.25</v>
      </c>
      <c r="D38" s="4">
        <f t="shared" si="1"/>
        <v>2.6279279279279484E-3</v>
      </c>
      <c r="E38" s="4">
        <f t="shared" si="0"/>
        <v>3.1541666666666668</v>
      </c>
    </row>
    <row r="39" spans="1:5" x14ac:dyDescent="0.55000000000000004">
      <c r="A39" s="3">
        <v>24.7</v>
      </c>
      <c r="B39" s="3">
        <v>2.0566</v>
      </c>
      <c r="C39" s="3">
        <v>194.89000999999999</v>
      </c>
      <c r="D39" s="4">
        <f t="shared" si="1"/>
        <v>2.7027027027027271E-3</v>
      </c>
      <c r="E39" s="4">
        <f t="shared" si="0"/>
        <v>3.2481668333333333</v>
      </c>
    </row>
    <row r="40" spans="1:5" x14ac:dyDescent="0.55000000000000004">
      <c r="A40" s="3">
        <v>24.8</v>
      </c>
      <c r="B40" s="3">
        <v>2.0649000000000002</v>
      </c>
      <c r="C40" s="3">
        <v>198.92</v>
      </c>
      <c r="D40" s="4">
        <f t="shared" si="1"/>
        <v>2.7774774774775024E-3</v>
      </c>
      <c r="E40" s="4">
        <f t="shared" si="0"/>
        <v>3.3153333333333332</v>
      </c>
    </row>
    <row r="41" spans="1:5" x14ac:dyDescent="0.55000000000000004">
      <c r="A41" s="3">
        <v>24.9</v>
      </c>
      <c r="B41" s="3">
        <v>2.0733000000000001</v>
      </c>
      <c r="C41" s="3">
        <v>203.75</v>
      </c>
      <c r="D41" s="4">
        <f t="shared" si="1"/>
        <v>2.8531531531531783E-3</v>
      </c>
      <c r="E41" s="4">
        <f t="shared" si="0"/>
        <v>3.3958333333333335</v>
      </c>
    </row>
    <row r="42" spans="1:5" x14ac:dyDescent="0.55000000000000004">
      <c r="A42" s="3">
        <v>25</v>
      </c>
      <c r="B42" s="3">
        <v>2.0815999999999999</v>
      </c>
      <c r="C42" s="3">
        <v>208.58</v>
      </c>
      <c r="D42" s="4">
        <f t="shared" si="1"/>
        <v>2.9279279279279501E-3</v>
      </c>
      <c r="E42" s="4">
        <f t="shared" si="0"/>
        <v>3.4763333333333337</v>
      </c>
    </row>
    <row r="43" spans="1:5" x14ac:dyDescent="0.55000000000000004">
      <c r="A43" s="3">
        <v>25.1</v>
      </c>
      <c r="B43" s="3">
        <v>2.0899000000000001</v>
      </c>
      <c r="C43" s="3">
        <v>214.22</v>
      </c>
      <c r="D43" s="4">
        <f t="shared" si="1"/>
        <v>3.0027027027027288E-3</v>
      </c>
      <c r="E43" s="4">
        <f t="shared" si="0"/>
        <v>3.5703333333333331</v>
      </c>
    </row>
    <row r="44" spans="1:5" x14ac:dyDescent="0.55000000000000004">
      <c r="A44" s="3">
        <v>25.2</v>
      </c>
      <c r="B44" s="3">
        <v>2.0981999999999998</v>
      </c>
      <c r="C44" s="3">
        <v>218.25001</v>
      </c>
      <c r="D44" s="4">
        <f t="shared" si="1"/>
        <v>3.0774774774775006E-3</v>
      </c>
      <c r="E44" s="4">
        <f t="shared" si="0"/>
        <v>3.6375001666666669</v>
      </c>
    </row>
    <row r="45" spans="1:5" x14ac:dyDescent="0.55000000000000004">
      <c r="A45" s="3">
        <v>25.3</v>
      </c>
      <c r="B45" s="3">
        <v>2.1065999999999998</v>
      </c>
      <c r="C45" s="3">
        <v>223.07999000000001</v>
      </c>
      <c r="D45" s="4">
        <f t="shared" si="1"/>
        <v>3.1531531531531765E-3</v>
      </c>
      <c r="E45" s="4">
        <f t="shared" si="0"/>
        <v>3.7179998333333333</v>
      </c>
    </row>
    <row r="46" spans="1:5" x14ac:dyDescent="0.55000000000000004">
      <c r="A46" s="3">
        <v>25.4</v>
      </c>
      <c r="B46" s="3">
        <v>2.1149</v>
      </c>
      <c r="C46" s="3">
        <v>227.91</v>
      </c>
      <c r="D46" s="4">
        <f t="shared" si="1"/>
        <v>3.2279279279279517E-3</v>
      </c>
      <c r="E46" s="4">
        <f t="shared" si="0"/>
        <v>3.7984999999999998</v>
      </c>
    </row>
    <row r="47" spans="1:5" x14ac:dyDescent="0.55000000000000004">
      <c r="A47" s="3">
        <v>25.5</v>
      </c>
      <c r="B47" s="3">
        <v>2.1233</v>
      </c>
      <c r="C47" s="3">
        <v>232.74</v>
      </c>
      <c r="D47" s="4">
        <f t="shared" si="1"/>
        <v>3.3036036036036276E-3</v>
      </c>
      <c r="E47" s="4">
        <f t="shared" si="0"/>
        <v>3.879</v>
      </c>
    </row>
    <row r="48" spans="1:5" x14ac:dyDescent="0.55000000000000004">
      <c r="A48" s="3">
        <v>25.6</v>
      </c>
      <c r="B48" s="3">
        <v>2.1316000000000002</v>
      </c>
      <c r="C48" s="3">
        <v>236.76999000000001</v>
      </c>
      <c r="D48" s="4">
        <f t="shared" si="1"/>
        <v>3.3783783783784029E-3</v>
      </c>
      <c r="E48" s="4">
        <f t="shared" ref="E48:E111" si="2">C48/$L$4</f>
        <v>3.9461664999999999</v>
      </c>
    </row>
    <row r="49" spans="1:5" x14ac:dyDescent="0.55000000000000004">
      <c r="A49" s="3">
        <v>25.7</v>
      </c>
      <c r="B49" s="3">
        <v>2.1398999999999999</v>
      </c>
      <c r="C49" s="3">
        <v>242.41</v>
      </c>
      <c r="D49" s="4">
        <f t="shared" si="1"/>
        <v>3.4531531531531746E-3</v>
      </c>
      <c r="E49" s="4">
        <f t="shared" si="2"/>
        <v>4.0401666666666669</v>
      </c>
    </row>
    <row r="50" spans="1:5" x14ac:dyDescent="0.55000000000000004">
      <c r="A50" s="3">
        <v>25.8</v>
      </c>
      <c r="B50" s="3">
        <v>2.1482999999999999</v>
      </c>
      <c r="C50" s="3">
        <v>246.42999</v>
      </c>
      <c r="D50" s="4">
        <f t="shared" si="1"/>
        <v>3.5288288288288505E-3</v>
      </c>
      <c r="E50" s="4">
        <f t="shared" si="2"/>
        <v>4.1071664999999999</v>
      </c>
    </row>
    <row r="51" spans="1:5" x14ac:dyDescent="0.55000000000000004">
      <c r="A51" s="3">
        <v>25.9</v>
      </c>
      <c r="B51" s="3">
        <v>2.1566000000000001</v>
      </c>
      <c r="C51" s="3">
        <v>251.26000999999999</v>
      </c>
      <c r="D51" s="4">
        <f t="shared" si="1"/>
        <v>3.6036036036036292E-3</v>
      </c>
      <c r="E51" s="4">
        <f t="shared" si="2"/>
        <v>4.1876668333333331</v>
      </c>
    </row>
    <row r="52" spans="1:5" x14ac:dyDescent="0.55000000000000004">
      <c r="A52" s="3">
        <v>26</v>
      </c>
      <c r="B52" s="3">
        <v>2.1648999999999998</v>
      </c>
      <c r="C52" s="3">
        <v>256.10000000000002</v>
      </c>
      <c r="D52" s="4">
        <f t="shared" si="1"/>
        <v>3.678378378378401E-3</v>
      </c>
      <c r="E52" s="4">
        <f t="shared" si="2"/>
        <v>4.2683333333333335</v>
      </c>
    </row>
    <row r="53" spans="1:5" x14ac:dyDescent="0.55000000000000004">
      <c r="A53" s="3">
        <v>26.1</v>
      </c>
      <c r="B53" s="3">
        <v>2.1732</v>
      </c>
      <c r="C53" s="3">
        <v>260.92998999999998</v>
      </c>
      <c r="D53" s="4">
        <f t="shared" si="1"/>
        <v>3.7531531531531763E-3</v>
      </c>
      <c r="E53" s="4">
        <f t="shared" si="2"/>
        <v>4.3488331666666662</v>
      </c>
    </row>
    <row r="54" spans="1:5" x14ac:dyDescent="0.55000000000000004">
      <c r="A54" s="3">
        <v>26.2</v>
      </c>
      <c r="B54" s="3">
        <v>2.1816</v>
      </c>
      <c r="C54" s="3">
        <v>265.76</v>
      </c>
      <c r="D54" s="4">
        <f t="shared" si="1"/>
        <v>3.8288288288288522E-3</v>
      </c>
      <c r="E54" s="4">
        <f t="shared" si="2"/>
        <v>4.4293333333333331</v>
      </c>
    </row>
    <row r="55" spans="1:5" x14ac:dyDescent="0.55000000000000004">
      <c r="A55" s="3">
        <v>26.3</v>
      </c>
      <c r="B55" s="3">
        <v>2.1899000000000002</v>
      </c>
      <c r="C55" s="3">
        <v>269.78998999999999</v>
      </c>
      <c r="D55" s="4">
        <f t="shared" si="1"/>
        <v>3.9036036036036274E-3</v>
      </c>
      <c r="E55" s="4">
        <f t="shared" si="2"/>
        <v>4.496499833333333</v>
      </c>
    </row>
    <row r="56" spans="1:5" x14ac:dyDescent="0.55000000000000004">
      <c r="A56" s="3">
        <v>26.4</v>
      </c>
      <c r="B56" s="3">
        <v>2.1981999999999999</v>
      </c>
      <c r="C56" s="3">
        <v>274.62000999999998</v>
      </c>
      <c r="D56" s="4">
        <f t="shared" si="1"/>
        <v>3.9783783783784027E-3</v>
      </c>
      <c r="E56" s="4">
        <f t="shared" si="2"/>
        <v>4.5770001666666662</v>
      </c>
    </row>
    <row r="57" spans="1:5" x14ac:dyDescent="0.55000000000000004">
      <c r="A57" s="3">
        <v>26.5</v>
      </c>
      <c r="B57" s="3">
        <v>2.2065999999999999</v>
      </c>
      <c r="C57" s="3">
        <v>279.45</v>
      </c>
      <c r="D57" s="4">
        <f t="shared" si="1"/>
        <v>4.0540540540540786E-3</v>
      </c>
      <c r="E57" s="4">
        <f t="shared" si="2"/>
        <v>4.6574999999999998</v>
      </c>
    </row>
    <row r="58" spans="1:5" x14ac:dyDescent="0.55000000000000004">
      <c r="A58" s="3">
        <v>26.6</v>
      </c>
      <c r="B58" s="3">
        <v>2.2149000000000001</v>
      </c>
      <c r="C58" s="3">
        <v>283.47998999999999</v>
      </c>
      <c r="D58" s="4">
        <f t="shared" si="1"/>
        <v>4.1288288288288538E-3</v>
      </c>
      <c r="E58" s="4">
        <f t="shared" si="2"/>
        <v>4.7246664999999997</v>
      </c>
    </row>
    <row r="59" spans="1:5" x14ac:dyDescent="0.55000000000000004">
      <c r="A59" s="3">
        <v>26.7</v>
      </c>
      <c r="B59" s="3">
        <v>2.2233000000000001</v>
      </c>
      <c r="C59" s="3">
        <v>288.31</v>
      </c>
      <c r="D59" s="4">
        <f t="shared" si="1"/>
        <v>4.2045045045045297E-3</v>
      </c>
      <c r="E59" s="4">
        <f t="shared" si="2"/>
        <v>4.8051666666666666</v>
      </c>
    </row>
    <row r="60" spans="1:5" x14ac:dyDescent="0.55000000000000004">
      <c r="A60" s="3">
        <v>26.8</v>
      </c>
      <c r="B60" s="3">
        <v>2.2315999999999998</v>
      </c>
      <c r="C60" s="3">
        <v>293.13999000000001</v>
      </c>
      <c r="D60" s="4">
        <f t="shared" si="1"/>
        <v>4.2792792792793015E-3</v>
      </c>
      <c r="E60" s="4">
        <f t="shared" si="2"/>
        <v>4.8856665000000001</v>
      </c>
    </row>
    <row r="61" spans="1:5" x14ac:dyDescent="0.55000000000000004">
      <c r="A61" s="3">
        <v>26.9</v>
      </c>
      <c r="B61" s="3">
        <v>2.2399</v>
      </c>
      <c r="C61" s="3">
        <v>297.98000999999999</v>
      </c>
      <c r="D61" s="4">
        <f t="shared" si="1"/>
        <v>4.3540540540540768E-3</v>
      </c>
      <c r="E61" s="4">
        <f t="shared" si="2"/>
        <v>4.9663335000000002</v>
      </c>
    </row>
    <row r="62" spans="1:5" x14ac:dyDescent="0.55000000000000004">
      <c r="A62" s="3">
        <v>27</v>
      </c>
      <c r="B62" s="3">
        <v>2.2482000000000002</v>
      </c>
      <c r="C62" s="3">
        <v>302</v>
      </c>
      <c r="D62" s="4">
        <f t="shared" si="1"/>
        <v>4.4288288288288555E-3</v>
      </c>
      <c r="E62" s="4">
        <f t="shared" si="2"/>
        <v>5.0333333333333332</v>
      </c>
    </row>
    <row r="63" spans="1:5" x14ac:dyDescent="0.55000000000000004">
      <c r="A63" s="3">
        <v>27.1</v>
      </c>
      <c r="B63" s="3">
        <v>2.2566000000000002</v>
      </c>
      <c r="C63" s="3">
        <v>306.82999000000001</v>
      </c>
      <c r="D63" s="4">
        <f t="shared" si="1"/>
        <v>4.5045045045045314E-3</v>
      </c>
      <c r="E63" s="4">
        <f t="shared" si="2"/>
        <v>5.1138331666666668</v>
      </c>
    </row>
    <row r="64" spans="1:5" x14ac:dyDescent="0.55000000000000004">
      <c r="A64" s="3">
        <v>27.2</v>
      </c>
      <c r="B64" s="3">
        <v>2.2648999999999999</v>
      </c>
      <c r="C64" s="3">
        <v>311.67000999999999</v>
      </c>
      <c r="D64" s="4">
        <f t="shared" si="1"/>
        <v>4.5792792792793031E-3</v>
      </c>
      <c r="E64" s="4">
        <f t="shared" si="2"/>
        <v>5.1945001666666668</v>
      </c>
    </row>
    <row r="65" spans="1:5" x14ac:dyDescent="0.55000000000000004">
      <c r="A65" s="3">
        <v>27.3</v>
      </c>
      <c r="B65" s="3">
        <v>2.2732000000000001</v>
      </c>
      <c r="C65" s="3">
        <v>315.68999000000002</v>
      </c>
      <c r="D65" s="4">
        <f t="shared" si="1"/>
        <v>4.6540540540540784E-3</v>
      </c>
      <c r="E65" s="4">
        <f t="shared" si="2"/>
        <v>5.2614998333333336</v>
      </c>
    </row>
    <row r="66" spans="1:5" x14ac:dyDescent="0.55000000000000004">
      <c r="A66" s="3">
        <v>27.4</v>
      </c>
      <c r="B66" s="3">
        <v>2.2814999999999999</v>
      </c>
      <c r="C66" s="3">
        <v>319.72001</v>
      </c>
      <c r="D66" s="4">
        <f t="shared" si="1"/>
        <v>4.7288288288288502E-3</v>
      </c>
      <c r="E66" s="4">
        <f t="shared" si="2"/>
        <v>5.3286668333333331</v>
      </c>
    </row>
    <row r="67" spans="1:5" x14ac:dyDescent="0.55000000000000004">
      <c r="A67" s="3">
        <v>27.5</v>
      </c>
      <c r="B67" s="3">
        <v>2.2898999999999998</v>
      </c>
      <c r="C67" s="3">
        <v>324.55</v>
      </c>
      <c r="D67" s="4">
        <f t="shared" si="1"/>
        <v>4.8045045045045261E-3</v>
      </c>
      <c r="E67" s="4">
        <f t="shared" si="2"/>
        <v>5.4091666666666667</v>
      </c>
    </row>
    <row r="68" spans="1:5" x14ac:dyDescent="0.55000000000000004">
      <c r="A68" s="3">
        <v>27.6</v>
      </c>
      <c r="B68" s="3">
        <v>2.2982999999999998</v>
      </c>
      <c r="C68" s="3">
        <v>329.37999000000002</v>
      </c>
      <c r="D68" s="4">
        <f t="shared" ref="D68:D131" si="3">((B68/$L$3))-0.0158252252252252</f>
        <v>4.8801801801802019E-3</v>
      </c>
      <c r="E68" s="4">
        <f t="shared" si="2"/>
        <v>5.4896665000000002</v>
      </c>
    </row>
    <row r="69" spans="1:5" x14ac:dyDescent="0.55000000000000004">
      <c r="A69" s="3">
        <v>27.7</v>
      </c>
      <c r="B69" s="3">
        <v>2.3066</v>
      </c>
      <c r="C69" s="3">
        <v>333.41001</v>
      </c>
      <c r="D69" s="4">
        <f t="shared" si="3"/>
        <v>4.9549549549549772E-3</v>
      </c>
      <c r="E69" s="4">
        <f t="shared" si="2"/>
        <v>5.5568334999999998</v>
      </c>
    </row>
    <row r="70" spans="1:5" x14ac:dyDescent="0.55000000000000004">
      <c r="A70" s="3">
        <v>27.8</v>
      </c>
      <c r="B70" s="3">
        <v>2.3149000000000002</v>
      </c>
      <c r="C70" s="3">
        <v>338.24</v>
      </c>
      <c r="D70" s="4">
        <f t="shared" si="3"/>
        <v>5.0297297297297559E-3</v>
      </c>
      <c r="E70" s="4">
        <f t="shared" si="2"/>
        <v>5.6373333333333333</v>
      </c>
    </row>
    <row r="71" spans="1:5" x14ac:dyDescent="0.55000000000000004">
      <c r="A71" s="3">
        <v>27.9</v>
      </c>
      <c r="B71" s="3">
        <v>2.3231999999999999</v>
      </c>
      <c r="C71" s="3">
        <v>342.26999000000001</v>
      </c>
      <c r="D71" s="4">
        <f t="shared" si="3"/>
        <v>5.1045045045045277E-3</v>
      </c>
      <c r="E71" s="4">
        <f t="shared" si="2"/>
        <v>5.7044998333333332</v>
      </c>
    </row>
    <row r="72" spans="1:5" x14ac:dyDescent="0.55000000000000004">
      <c r="A72" s="3">
        <v>28</v>
      </c>
      <c r="B72" s="3">
        <v>2.3315999999999999</v>
      </c>
      <c r="C72" s="3">
        <v>347.1</v>
      </c>
      <c r="D72" s="4">
        <f t="shared" si="3"/>
        <v>5.1801801801802036E-3</v>
      </c>
      <c r="E72" s="4">
        <f t="shared" si="2"/>
        <v>5.7850000000000001</v>
      </c>
    </row>
    <row r="73" spans="1:5" x14ac:dyDescent="0.55000000000000004">
      <c r="A73" s="3">
        <v>28.1</v>
      </c>
      <c r="B73" s="3">
        <v>2.3399000000000001</v>
      </c>
      <c r="C73" s="3">
        <v>351.12999000000002</v>
      </c>
      <c r="D73" s="4">
        <f t="shared" si="3"/>
        <v>5.2549549549549789E-3</v>
      </c>
      <c r="E73" s="4">
        <f t="shared" si="2"/>
        <v>5.8521665</v>
      </c>
    </row>
    <row r="74" spans="1:5" x14ac:dyDescent="0.55000000000000004">
      <c r="A74" s="3">
        <v>28.2</v>
      </c>
      <c r="B74" s="3">
        <v>2.3481999999999998</v>
      </c>
      <c r="C74" s="3">
        <v>355.96001000000001</v>
      </c>
      <c r="D74" s="4">
        <f t="shared" si="3"/>
        <v>5.3297297297297506E-3</v>
      </c>
      <c r="E74" s="4">
        <f t="shared" si="2"/>
        <v>5.9326668333333332</v>
      </c>
    </row>
    <row r="75" spans="1:5" x14ac:dyDescent="0.55000000000000004">
      <c r="A75" s="3">
        <v>28.3</v>
      </c>
      <c r="B75" s="3">
        <v>2.3565</v>
      </c>
      <c r="C75" s="3">
        <v>359.99</v>
      </c>
      <c r="D75" s="4">
        <f t="shared" si="3"/>
        <v>5.4045045045045294E-3</v>
      </c>
      <c r="E75" s="4">
        <f t="shared" si="2"/>
        <v>5.9998333333333331</v>
      </c>
    </row>
    <row r="76" spans="1:5" x14ac:dyDescent="0.55000000000000004">
      <c r="A76" s="3">
        <v>28.4</v>
      </c>
      <c r="B76" s="3">
        <v>2.3649</v>
      </c>
      <c r="C76" s="3">
        <v>364.00999000000002</v>
      </c>
      <c r="D76" s="4">
        <f t="shared" si="3"/>
        <v>5.4801801801802053E-3</v>
      </c>
      <c r="E76" s="4">
        <f t="shared" si="2"/>
        <v>6.0668331666666671</v>
      </c>
    </row>
    <row r="77" spans="1:5" x14ac:dyDescent="0.55000000000000004">
      <c r="A77" s="3">
        <v>28.5</v>
      </c>
      <c r="B77" s="3">
        <v>2.3733</v>
      </c>
      <c r="C77" s="3">
        <v>368.04001</v>
      </c>
      <c r="D77" s="4">
        <f t="shared" si="3"/>
        <v>5.5558558558558777E-3</v>
      </c>
      <c r="E77" s="4">
        <f t="shared" si="2"/>
        <v>6.1340001666666666</v>
      </c>
    </row>
    <row r="78" spans="1:5" x14ac:dyDescent="0.55000000000000004">
      <c r="A78" s="3">
        <v>28.6</v>
      </c>
      <c r="B78" s="3">
        <v>2.3816000000000002</v>
      </c>
      <c r="C78" s="3">
        <v>372.87</v>
      </c>
      <c r="D78" s="4">
        <f t="shared" si="3"/>
        <v>5.6306306306306564E-3</v>
      </c>
      <c r="E78" s="4">
        <f t="shared" si="2"/>
        <v>6.2145000000000001</v>
      </c>
    </row>
    <row r="79" spans="1:5" x14ac:dyDescent="0.55000000000000004">
      <c r="A79" s="3">
        <v>28.7</v>
      </c>
      <c r="B79" s="3">
        <v>2.3898999999999999</v>
      </c>
      <c r="C79" s="3">
        <v>376.08999</v>
      </c>
      <c r="D79" s="4">
        <f t="shared" si="3"/>
        <v>5.7054054054054282E-3</v>
      </c>
      <c r="E79" s="4">
        <f t="shared" si="2"/>
        <v>6.2681665000000004</v>
      </c>
    </row>
    <row r="80" spans="1:5" x14ac:dyDescent="0.55000000000000004">
      <c r="A80" s="3">
        <v>28.8</v>
      </c>
      <c r="B80" s="3">
        <v>2.3982000000000001</v>
      </c>
      <c r="C80" s="3">
        <v>380.93000999999998</v>
      </c>
      <c r="D80" s="4">
        <f t="shared" si="3"/>
        <v>5.7801801801802034E-3</v>
      </c>
      <c r="E80" s="4">
        <f t="shared" si="2"/>
        <v>6.3488334999999996</v>
      </c>
    </row>
    <row r="81" spans="1:5" x14ac:dyDescent="0.55000000000000004">
      <c r="A81" s="3">
        <v>28.9</v>
      </c>
      <c r="B81" s="3">
        <v>2.4066000000000001</v>
      </c>
      <c r="C81" s="3">
        <v>384.95</v>
      </c>
      <c r="D81" s="4">
        <f t="shared" si="3"/>
        <v>5.8558558558558793E-3</v>
      </c>
      <c r="E81" s="4">
        <f t="shared" si="2"/>
        <v>6.4158333333333335</v>
      </c>
    </row>
    <row r="82" spans="1:5" x14ac:dyDescent="0.55000000000000004">
      <c r="A82" s="3">
        <v>29</v>
      </c>
      <c r="B82" s="3">
        <v>2.4148999999999998</v>
      </c>
      <c r="C82" s="3">
        <v>388.97998999999999</v>
      </c>
      <c r="D82" s="4">
        <f t="shared" si="3"/>
        <v>5.9306306306306546E-3</v>
      </c>
      <c r="E82" s="4">
        <f t="shared" si="2"/>
        <v>6.4829998333333334</v>
      </c>
    </row>
    <row r="83" spans="1:5" x14ac:dyDescent="0.55000000000000004">
      <c r="A83" s="3">
        <v>29.1</v>
      </c>
      <c r="B83" s="3">
        <v>2.4232</v>
      </c>
      <c r="C83" s="3">
        <v>393.01001000000002</v>
      </c>
      <c r="D83" s="4">
        <f t="shared" si="3"/>
        <v>6.0054054054054298E-3</v>
      </c>
      <c r="E83" s="4">
        <f t="shared" si="2"/>
        <v>6.5501668333333338</v>
      </c>
    </row>
    <row r="84" spans="1:5" x14ac:dyDescent="0.55000000000000004">
      <c r="A84" s="3">
        <v>29.2</v>
      </c>
      <c r="B84" s="3">
        <v>2.4315000000000002</v>
      </c>
      <c r="C84" s="3">
        <v>397.02999</v>
      </c>
      <c r="D84" s="4">
        <f t="shared" si="3"/>
        <v>6.0801801801802051E-3</v>
      </c>
      <c r="E84" s="4">
        <f t="shared" si="2"/>
        <v>6.6171664999999997</v>
      </c>
    </row>
    <row r="85" spans="1:5" x14ac:dyDescent="0.55000000000000004">
      <c r="A85" s="3">
        <v>29.3</v>
      </c>
      <c r="B85" s="3">
        <v>2.4399000000000002</v>
      </c>
      <c r="C85" s="3">
        <v>401.06000999999998</v>
      </c>
      <c r="D85" s="4">
        <f t="shared" si="3"/>
        <v>6.155855855855881E-3</v>
      </c>
      <c r="E85" s="4">
        <f t="shared" si="2"/>
        <v>6.6843334999999993</v>
      </c>
    </row>
    <row r="86" spans="1:5" x14ac:dyDescent="0.55000000000000004">
      <c r="A86" s="3">
        <v>29.4</v>
      </c>
      <c r="B86" s="3">
        <v>2.4483000000000001</v>
      </c>
      <c r="C86" s="3">
        <v>405.09</v>
      </c>
      <c r="D86" s="4">
        <f t="shared" si="3"/>
        <v>6.2315315315315568E-3</v>
      </c>
      <c r="E86" s="4">
        <f t="shared" si="2"/>
        <v>6.7514999999999992</v>
      </c>
    </row>
    <row r="87" spans="1:5" x14ac:dyDescent="0.55000000000000004">
      <c r="A87" s="3">
        <v>29.5</v>
      </c>
      <c r="B87" s="3">
        <v>2.4565999999999999</v>
      </c>
      <c r="C87" s="3">
        <v>409.10998999999998</v>
      </c>
      <c r="D87" s="4">
        <f t="shared" si="3"/>
        <v>6.3063063063063286E-3</v>
      </c>
      <c r="E87" s="4">
        <f t="shared" si="2"/>
        <v>6.8184998333333331</v>
      </c>
    </row>
    <row r="88" spans="1:5" x14ac:dyDescent="0.55000000000000004">
      <c r="A88" s="3">
        <v>29.6</v>
      </c>
      <c r="B88" s="3">
        <v>2.4649000000000001</v>
      </c>
      <c r="C88" s="3">
        <v>413.14001000000002</v>
      </c>
      <c r="D88" s="4">
        <f t="shared" si="3"/>
        <v>6.3810810810811074E-3</v>
      </c>
      <c r="E88" s="4">
        <f t="shared" si="2"/>
        <v>6.8856668333333335</v>
      </c>
    </row>
    <row r="89" spans="1:5" x14ac:dyDescent="0.55000000000000004">
      <c r="A89" s="3">
        <v>29.7</v>
      </c>
      <c r="B89" s="3">
        <v>2.4731999999999998</v>
      </c>
      <c r="C89" s="3">
        <v>417.17</v>
      </c>
      <c r="D89" s="4">
        <f t="shared" si="3"/>
        <v>6.4558558558558791E-3</v>
      </c>
      <c r="E89" s="4">
        <f t="shared" si="2"/>
        <v>6.9528333333333334</v>
      </c>
    </row>
    <row r="90" spans="1:5" x14ac:dyDescent="0.55000000000000004">
      <c r="A90" s="3">
        <v>29.8</v>
      </c>
      <c r="B90" s="3">
        <v>2.4815999999999998</v>
      </c>
      <c r="C90" s="3">
        <v>421.18999000000002</v>
      </c>
      <c r="D90" s="4">
        <f t="shared" si="3"/>
        <v>6.531531531531555E-3</v>
      </c>
      <c r="E90" s="4">
        <f t="shared" si="2"/>
        <v>7.0198331666666673</v>
      </c>
    </row>
    <row r="91" spans="1:5" x14ac:dyDescent="0.55000000000000004">
      <c r="A91" s="3">
        <v>29.9</v>
      </c>
      <c r="B91" s="3">
        <v>2.4899</v>
      </c>
      <c r="C91" s="3">
        <v>425.22001</v>
      </c>
      <c r="D91" s="4">
        <f t="shared" si="3"/>
        <v>6.6063063063063303E-3</v>
      </c>
      <c r="E91" s="4">
        <f t="shared" si="2"/>
        <v>7.0870001666666669</v>
      </c>
    </row>
    <row r="92" spans="1:5" x14ac:dyDescent="0.55000000000000004">
      <c r="A92" s="3">
        <v>30</v>
      </c>
      <c r="B92" s="3">
        <v>2.4982000000000002</v>
      </c>
      <c r="C92" s="3">
        <v>429.25</v>
      </c>
      <c r="D92" s="4">
        <f t="shared" si="3"/>
        <v>6.6810810810811055E-3</v>
      </c>
      <c r="E92" s="4">
        <f t="shared" si="2"/>
        <v>7.1541666666666668</v>
      </c>
    </row>
    <row r="93" spans="1:5" x14ac:dyDescent="0.55000000000000004">
      <c r="A93" s="3">
        <v>30.1</v>
      </c>
      <c r="B93" s="3">
        <v>2.5065</v>
      </c>
      <c r="C93" s="3">
        <v>433.26999000000001</v>
      </c>
      <c r="D93" s="4">
        <f t="shared" si="3"/>
        <v>6.7558558558558808E-3</v>
      </c>
      <c r="E93" s="4">
        <f t="shared" si="2"/>
        <v>7.2211664999999998</v>
      </c>
    </row>
    <row r="94" spans="1:5" x14ac:dyDescent="0.55000000000000004">
      <c r="A94" s="3">
        <v>30.2</v>
      </c>
      <c r="B94" s="3">
        <v>2.5148999999999999</v>
      </c>
      <c r="C94" s="3">
        <v>436.50000999999997</v>
      </c>
      <c r="D94" s="4">
        <f t="shared" si="3"/>
        <v>6.8315315315315532E-3</v>
      </c>
      <c r="E94" s="4">
        <f t="shared" si="2"/>
        <v>7.2750001666666666</v>
      </c>
    </row>
    <row r="95" spans="1:5" x14ac:dyDescent="0.55000000000000004">
      <c r="A95" s="3">
        <v>30.3</v>
      </c>
      <c r="B95" s="3">
        <v>2.5232999999999999</v>
      </c>
      <c r="C95" s="3">
        <v>440.52</v>
      </c>
      <c r="D95" s="4">
        <f t="shared" si="3"/>
        <v>6.9072072072072291E-3</v>
      </c>
      <c r="E95" s="4">
        <f t="shared" si="2"/>
        <v>7.3419999999999996</v>
      </c>
    </row>
    <row r="96" spans="1:5" x14ac:dyDescent="0.55000000000000004">
      <c r="A96" s="3">
        <v>30.4</v>
      </c>
      <c r="B96" s="3">
        <v>2.5316000000000001</v>
      </c>
      <c r="C96" s="3">
        <v>444.54998999999998</v>
      </c>
      <c r="D96" s="4">
        <f t="shared" si="3"/>
        <v>6.9819819819820078E-3</v>
      </c>
      <c r="E96" s="4">
        <f t="shared" si="2"/>
        <v>7.4091664999999995</v>
      </c>
    </row>
    <row r="97" spans="1:5" x14ac:dyDescent="0.55000000000000004">
      <c r="A97" s="3">
        <v>30.5</v>
      </c>
      <c r="B97" s="3">
        <v>2.5398999999999998</v>
      </c>
      <c r="C97" s="3">
        <v>447.77001000000001</v>
      </c>
      <c r="D97" s="4">
        <f t="shared" si="3"/>
        <v>7.0567567567567796E-3</v>
      </c>
      <c r="E97" s="4">
        <f t="shared" si="2"/>
        <v>7.4628335000000003</v>
      </c>
    </row>
    <row r="98" spans="1:5" x14ac:dyDescent="0.55000000000000004">
      <c r="A98" s="3">
        <v>30.6</v>
      </c>
      <c r="B98" s="3">
        <v>2.5482</v>
      </c>
      <c r="C98" s="3">
        <v>451.8</v>
      </c>
      <c r="D98" s="4">
        <f t="shared" si="3"/>
        <v>7.1315315315315549E-3</v>
      </c>
      <c r="E98" s="4">
        <f t="shared" si="2"/>
        <v>7.53</v>
      </c>
    </row>
    <row r="99" spans="1:5" x14ac:dyDescent="0.55000000000000004">
      <c r="A99" s="3">
        <v>30.7</v>
      </c>
      <c r="B99" s="3">
        <v>2.5566</v>
      </c>
      <c r="C99" s="3">
        <v>455.02</v>
      </c>
      <c r="D99" s="4">
        <f t="shared" si="3"/>
        <v>7.2072072072072307E-3</v>
      </c>
      <c r="E99" s="4">
        <f t="shared" si="2"/>
        <v>7.5836666666666668</v>
      </c>
    </row>
    <row r="100" spans="1:5" x14ac:dyDescent="0.55000000000000004">
      <c r="A100" s="3">
        <v>30.8</v>
      </c>
      <c r="B100" s="3">
        <v>2.5649000000000002</v>
      </c>
      <c r="C100" s="3">
        <v>459.04998999999998</v>
      </c>
      <c r="D100" s="4">
        <f t="shared" si="3"/>
        <v>7.281981981982006E-3</v>
      </c>
      <c r="E100" s="4">
        <f t="shared" si="2"/>
        <v>7.6508331666666667</v>
      </c>
    </row>
    <row r="101" spans="1:5" x14ac:dyDescent="0.55000000000000004">
      <c r="A101" s="3">
        <v>30.9</v>
      </c>
      <c r="B101" s="3">
        <v>2.5731999999999999</v>
      </c>
      <c r="C101" s="3">
        <v>462.27001000000001</v>
      </c>
      <c r="D101" s="4">
        <f t="shared" si="3"/>
        <v>7.3567567567567813E-3</v>
      </c>
      <c r="E101" s="4">
        <f t="shared" si="2"/>
        <v>7.7045001666666666</v>
      </c>
    </row>
    <row r="102" spans="1:5" x14ac:dyDescent="0.55000000000000004">
      <c r="A102" s="3">
        <v>31</v>
      </c>
      <c r="B102" s="3">
        <v>2.5815000000000001</v>
      </c>
      <c r="C102" s="3">
        <v>465.49</v>
      </c>
      <c r="D102" s="4">
        <f t="shared" si="3"/>
        <v>7.4315315315315565E-3</v>
      </c>
      <c r="E102" s="4">
        <f t="shared" si="2"/>
        <v>7.7581666666666669</v>
      </c>
    </row>
    <row r="103" spans="1:5" x14ac:dyDescent="0.55000000000000004">
      <c r="A103" s="3">
        <v>31.1</v>
      </c>
      <c r="B103" s="3">
        <v>2.5899000000000001</v>
      </c>
      <c r="C103" s="3">
        <v>468.70999</v>
      </c>
      <c r="D103" s="4">
        <f t="shared" si="3"/>
        <v>7.5072072072072324E-3</v>
      </c>
      <c r="E103" s="4">
        <f t="shared" si="2"/>
        <v>7.8118331666666672</v>
      </c>
    </row>
    <row r="104" spans="1:5" x14ac:dyDescent="0.55000000000000004">
      <c r="A104" s="3">
        <v>31.2</v>
      </c>
      <c r="B104" s="3">
        <v>2.5983000000000001</v>
      </c>
      <c r="C104" s="3">
        <v>472.74000999999998</v>
      </c>
      <c r="D104" s="4">
        <f t="shared" si="3"/>
        <v>7.5828828828829083E-3</v>
      </c>
      <c r="E104" s="4">
        <f t="shared" si="2"/>
        <v>7.8790001666666667</v>
      </c>
    </row>
    <row r="105" spans="1:5" x14ac:dyDescent="0.55000000000000004">
      <c r="A105" s="3">
        <v>31.3</v>
      </c>
      <c r="B105" s="3">
        <v>2.6065999999999998</v>
      </c>
      <c r="C105" s="3">
        <v>475.96</v>
      </c>
      <c r="D105" s="4">
        <f t="shared" si="3"/>
        <v>7.6576576576576801E-3</v>
      </c>
      <c r="E105" s="4">
        <f t="shared" si="2"/>
        <v>7.9326666666666661</v>
      </c>
    </row>
    <row r="106" spans="1:5" x14ac:dyDescent="0.55000000000000004">
      <c r="A106" s="3">
        <v>31.4</v>
      </c>
      <c r="B106" s="3">
        <v>2.6149</v>
      </c>
      <c r="C106" s="3">
        <v>479.17998999999998</v>
      </c>
      <c r="D106" s="4">
        <f t="shared" si="3"/>
        <v>7.7324324324324553E-3</v>
      </c>
      <c r="E106" s="4">
        <f t="shared" si="2"/>
        <v>7.9863331666666664</v>
      </c>
    </row>
    <row r="107" spans="1:5" x14ac:dyDescent="0.55000000000000004">
      <c r="A107" s="3">
        <v>31.5</v>
      </c>
      <c r="B107" s="3">
        <v>2.6232000000000002</v>
      </c>
      <c r="C107" s="3">
        <v>482.39999</v>
      </c>
      <c r="D107" s="4">
        <f t="shared" si="3"/>
        <v>7.807207207207234E-3</v>
      </c>
      <c r="E107" s="4">
        <f t="shared" si="2"/>
        <v>8.0399998333333329</v>
      </c>
    </row>
    <row r="108" spans="1:5" x14ac:dyDescent="0.55000000000000004">
      <c r="A108" s="3">
        <v>31.6</v>
      </c>
      <c r="B108" s="3">
        <v>2.6316000000000002</v>
      </c>
      <c r="C108" s="3">
        <v>485.61998</v>
      </c>
      <c r="D108" s="4">
        <f t="shared" si="3"/>
        <v>7.8828828828829065E-3</v>
      </c>
      <c r="E108" s="4">
        <f t="shared" si="2"/>
        <v>8.0936663333333332</v>
      </c>
    </row>
    <row r="109" spans="1:5" x14ac:dyDescent="0.55000000000000004">
      <c r="A109" s="3">
        <v>31.7</v>
      </c>
      <c r="B109" s="3">
        <v>2.6398999999999999</v>
      </c>
      <c r="C109" s="3">
        <v>487.22996999999998</v>
      </c>
      <c r="D109" s="4">
        <f t="shared" si="3"/>
        <v>7.9576576576576817E-3</v>
      </c>
      <c r="E109" s="4">
        <f t="shared" si="2"/>
        <v>8.1204994999999993</v>
      </c>
    </row>
    <row r="110" spans="1:5" x14ac:dyDescent="0.55000000000000004">
      <c r="A110" s="3">
        <v>31.8</v>
      </c>
      <c r="B110" s="3">
        <v>2.6482000000000001</v>
      </c>
      <c r="C110" s="3">
        <v>489.65</v>
      </c>
      <c r="D110" s="4">
        <f t="shared" si="3"/>
        <v>8.032432432432457E-3</v>
      </c>
      <c r="E110" s="4">
        <f t="shared" si="2"/>
        <v>8.1608333333333327</v>
      </c>
    </row>
    <row r="111" spans="1:5" x14ac:dyDescent="0.55000000000000004">
      <c r="A111" s="3">
        <v>31.9</v>
      </c>
      <c r="B111" s="3">
        <v>2.6564999999999999</v>
      </c>
      <c r="C111" s="3">
        <v>492.07002</v>
      </c>
      <c r="D111" s="4">
        <f t="shared" si="3"/>
        <v>8.1072072072072288E-3</v>
      </c>
      <c r="E111" s="4">
        <f t="shared" si="2"/>
        <v>8.2011669999999999</v>
      </c>
    </row>
    <row r="112" spans="1:5" x14ac:dyDescent="0.55000000000000004">
      <c r="A112" s="3">
        <v>32</v>
      </c>
      <c r="B112" s="3">
        <v>2.6648999999999998</v>
      </c>
      <c r="C112" s="3">
        <v>494.47998000000001</v>
      </c>
      <c r="D112" s="4">
        <f t="shared" si="3"/>
        <v>8.1828828828829046E-3</v>
      </c>
      <c r="E112" s="4">
        <f t="shared" ref="E112:E161" si="4">C112/$L$4</f>
        <v>8.2413330000000009</v>
      </c>
    </row>
    <row r="113" spans="1:5" x14ac:dyDescent="0.55000000000000004">
      <c r="A113" s="3">
        <v>32.1</v>
      </c>
      <c r="B113" s="3">
        <v>2.6732999999999998</v>
      </c>
      <c r="C113" s="3">
        <v>497.69997999999998</v>
      </c>
      <c r="D113" s="4">
        <f t="shared" si="3"/>
        <v>8.2585585585585805E-3</v>
      </c>
      <c r="E113" s="4">
        <f t="shared" si="4"/>
        <v>8.2949996666666657</v>
      </c>
    </row>
    <row r="114" spans="1:5" x14ac:dyDescent="0.55000000000000004">
      <c r="A114" s="3">
        <v>32.200000000000003</v>
      </c>
      <c r="B114" s="3">
        <v>2.6816</v>
      </c>
      <c r="C114" s="3">
        <v>500.12</v>
      </c>
      <c r="D114" s="4">
        <f t="shared" si="3"/>
        <v>8.3333333333333558E-3</v>
      </c>
      <c r="E114" s="4">
        <f t="shared" si="4"/>
        <v>8.3353333333333328</v>
      </c>
    </row>
    <row r="115" spans="1:5" x14ac:dyDescent="0.55000000000000004">
      <c r="A115" s="3">
        <v>32.299999999999997</v>
      </c>
      <c r="B115" s="3">
        <v>2.6899000000000002</v>
      </c>
      <c r="C115" s="3">
        <v>502.53001999999998</v>
      </c>
      <c r="D115" s="4">
        <f t="shared" si="3"/>
        <v>8.4081081081081345E-3</v>
      </c>
      <c r="E115" s="4">
        <f t="shared" si="4"/>
        <v>8.3755003333333331</v>
      </c>
    </row>
    <row r="116" spans="1:5" x14ac:dyDescent="0.55000000000000004">
      <c r="A116" s="3">
        <v>32.4</v>
      </c>
      <c r="B116" s="3">
        <v>2.6981999999999999</v>
      </c>
      <c r="C116" s="3">
        <v>504.94999000000001</v>
      </c>
      <c r="D116" s="4">
        <f t="shared" si="3"/>
        <v>8.4828828828829063E-3</v>
      </c>
      <c r="E116" s="4">
        <f t="shared" si="4"/>
        <v>8.4158331666666673</v>
      </c>
    </row>
    <row r="117" spans="1:5" x14ac:dyDescent="0.55000000000000004">
      <c r="A117" s="3">
        <v>32.5</v>
      </c>
      <c r="B117" s="3">
        <v>2.7065999999999999</v>
      </c>
      <c r="C117" s="3">
        <v>507.37000999999998</v>
      </c>
      <c r="D117" s="4">
        <f t="shared" si="3"/>
        <v>8.5585585585585822E-3</v>
      </c>
      <c r="E117" s="4">
        <f t="shared" si="4"/>
        <v>8.4561668333333326</v>
      </c>
    </row>
    <row r="118" spans="1:5" x14ac:dyDescent="0.55000000000000004">
      <c r="A118" s="3">
        <v>32.6</v>
      </c>
      <c r="B118" s="3">
        <v>2.7149000000000001</v>
      </c>
      <c r="C118" s="3">
        <v>509.77996999999999</v>
      </c>
      <c r="D118" s="4">
        <f t="shared" si="3"/>
        <v>8.6333333333333574E-3</v>
      </c>
      <c r="E118" s="4">
        <f t="shared" si="4"/>
        <v>8.4963328333333337</v>
      </c>
    </row>
    <row r="119" spans="1:5" x14ac:dyDescent="0.55000000000000004">
      <c r="A119" s="3">
        <v>32.700000000000003</v>
      </c>
      <c r="B119" s="3">
        <v>2.7231999999999998</v>
      </c>
      <c r="C119" s="3">
        <v>512.20000000000005</v>
      </c>
      <c r="D119" s="4">
        <f t="shared" si="3"/>
        <v>8.7081081081081292E-3</v>
      </c>
      <c r="E119" s="4">
        <f t="shared" si="4"/>
        <v>8.5366666666666671</v>
      </c>
    </row>
    <row r="120" spans="1:5" x14ac:dyDescent="0.55000000000000004">
      <c r="A120" s="3">
        <v>32.799999999999997</v>
      </c>
      <c r="B120" s="3">
        <v>2.7315999999999998</v>
      </c>
      <c r="C120" s="3">
        <v>514.61001999999996</v>
      </c>
      <c r="D120" s="4">
        <f t="shared" si="3"/>
        <v>8.7837837837838051E-3</v>
      </c>
      <c r="E120" s="4">
        <f t="shared" si="4"/>
        <v>8.5768336666666656</v>
      </c>
    </row>
    <row r="121" spans="1:5" x14ac:dyDescent="0.55000000000000004">
      <c r="A121" s="3">
        <v>32.9</v>
      </c>
      <c r="B121" s="3">
        <v>2.7399</v>
      </c>
      <c r="C121" s="3">
        <v>517.02999</v>
      </c>
      <c r="D121" s="4">
        <f t="shared" si="3"/>
        <v>8.8585585585585838E-3</v>
      </c>
      <c r="E121" s="4">
        <f t="shared" si="4"/>
        <v>8.6171664999999997</v>
      </c>
    </row>
    <row r="122" spans="1:5" x14ac:dyDescent="0.55000000000000004">
      <c r="A122" s="3">
        <v>33</v>
      </c>
      <c r="B122" s="3">
        <v>2.7483</v>
      </c>
      <c r="C122" s="3">
        <v>519.45001000000002</v>
      </c>
      <c r="D122" s="4">
        <f t="shared" si="3"/>
        <v>8.9342342342342562E-3</v>
      </c>
      <c r="E122" s="4">
        <f t="shared" si="4"/>
        <v>8.6575001666666669</v>
      </c>
    </row>
    <row r="123" spans="1:5" x14ac:dyDescent="0.55000000000000004">
      <c r="A123" s="3">
        <v>33.1</v>
      </c>
      <c r="B123" s="3">
        <v>2.7566000000000002</v>
      </c>
      <c r="C123" s="3">
        <v>521.05999999999995</v>
      </c>
      <c r="D123" s="4">
        <f t="shared" si="3"/>
        <v>9.009009009009035E-3</v>
      </c>
      <c r="E123" s="4">
        <f t="shared" si="4"/>
        <v>8.684333333333333</v>
      </c>
    </row>
    <row r="124" spans="1:5" x14ac:dyDescent="0.55000000000000004">
      <c r="A124" s="3">
        <v>33.200000000000003</v>
      </c>
      <c r="B124" s="3">
        <v>2.7648999999999999</v>
      </c>
      <c r="C124" s="3">
        <v>523.47002999999995</v>
      </c>
      <c r="D124" s="4">
        <f t="shared" si="3"/>
        <v>9.0837837837838067E-3</v>
      </c>
      <c r="E124" s="4">
        <f t="shared" si="4"/>
        <v>8.7245004999999995</v>
      </c>
    </row>
    <row r="125" spans="1:5" x14ac:dyDescent="0.55000000000000004">
      <c r="A125" s="3">
        <v>33.299999999999997</v>
      </c>
      <c r="B125" s="3">
        <v>2.7732000000000001</v>
      </c>
      <c r="C125" s="3">
        <v>525.88999000000001</v>
      </c>
      <c r="D125" s="4">
        <f t="shared" si="3"/>
        <v>9.158558558558582E-3</v>
      </c>
      <c r="E125" s="4">
        <f t="shared" si="4"/>
        <v>8.7648331666666675</v>
      </c>
    </row>
    <row r="126" spans="1:5" x14ac:dyDescent="0.55000000000000004">
      <c r="A126" s="3">
        <v>33.4</v>
      </c>
      <c r="B126" s="3">
        <v>2.7816000000000001</v>
      </c>
      <c r="C126" s="3">
        <v>528.31002000000001</v>
      </c>
      <c r="D126" s="4">
        <f t="shared" si="3"/>
        <v>9.2342342342342579E-3</v>
      </c>
      <c r="E126" s="4">
        <f t="shared" si="4"/>
        <v>8.8051670000000009</v>
      </c>
    </row>
    <row r="127" spans="1:5" x14ac:dyDescent="0.55000000000000004">
      <c r="A127" s="3">
        <v>33.5</v>
      </c>
      <c r="B127" s="3">
        <v>2.7898999999999998</v>
      </c>
      <c r="C127" s="3">
        <v>529.92001000000005</v>
      </c>
      <c r="D127" s="4">
        <f t="shared" si="3"/>
        <v>9.3090090090090297E-3</v>
      </c>
      <c r="E127" s="4">
        <f t="shared" si="4"/>
        <v>8.832000166666667</v>
      </c>
    </row>
    <row r="128" spans="1:5" x14ac:dyDescent="0.55000000000000004">
      <c r="A128" s="3">
        <v>33.6</v>
      </c>
      <c r="B128" s="3">
        <v>2.7982</v>
      </c>
      <c r="C128" s="3">
        <v>531.53000999999995</v>
      </c>
      <c r="D128" s="4">
        <f t="shared" si="3"/>
        <v>9.3837837837838084E-3</v>
      </c>
      <c r="E128" s="4">
        <f t="shared" si="4"/>
        <v>8.8588334999999994</v>
      </c>
    </row>
    <row r="129" spans="1:5" x14ac:dyDescent="0.55000000000000004">
      <c r="A129" s="3">
        <v>33.700000000000003</v>
      </c>
      <c r="B129" s="3">
        <v>2.8066</v>
      </c>
      <c r="C129" s="3">
        <v>533.93997000000002</v>
      </c>
      <c r="D129" s="4">
        <f t="shared" si="3"/>
        <v>9.4594594594594843E-3</v>
      </c>
      <c r="E129" s="4">
        <f t="shared" si="4"/>
        <v>8.8989995000000004</v>
      </c>
    </row>
    <row r="130" spans="1:5" x14ac:dyDescent="0.55000000000000004">
      <c r="A130" s="3">
        <v>33.799999999999997</v>
      </c>
      <c r="B130" s="3">
        <v>2.8149000000000002</v>
      </c>
      <c r="C130" s="3">
        <v>535.55002000000002</v>
      </c>
      <c r="D130" s="4">
        <f t="shared" si="3"/>
        <v>9.5342342342342595E-3</v>
      </c>
      <c r="E130" s="4">
        <f t="shared" si="4"/>
        <v>8.9258336666666676</v>
      </c>
    </row>
    <row r="131" spans="1:5" x14ac:dyDescent="0.55000000000000004">
      <c r="A131" s="3">
        <v>33.9</v>
      </c>
      <c r="B131" s="3">
        <v>2.8231999999999999</v>
      </c>
      <c r="C131" s="3">
        <v>537.96999000000005</v>
      </c>
      <c r="D131" s="4">
        <f t="shared" si="3"/>
        <v>9.6090090090090313E-3</v>
      </c>
      <c r="E131" s="4">
        <f t="shared" si="4"/>
        <v>8.9661665000000017</v>
      </c>
    </row>
    <row r="132" spans="1:5" x14ac:dyDescent="0.55000000000000004">
      <c r="A132" s="3">
        <v>34</v>
      </c>
      <c r="B132" s="3">
        <v>2.8315999999999999</v>
      </c>
      <c r="C132" s="3">
        <v>539.57998999999995</v>
      </c>
      <c r="D132" s="4">
        <f t="shared" ref="D132:D161" si="5">((B132/$L$3))-0.0158252252252252</f>
        <v>9.6846846846847072E-3</v>
      </c>
      <c r="E132" s="4">
        <f t="shared" si="4"/>
        <v>8.9929998333333323</v>
      </c>
    </row>
    <row r="133" spans="1:5" x14ac:dyDescent="0.55000000000000004">
      <c r="A133" s="3">
        <v>34.1</v>
      </c>
      <c r="B133" s="3">
        <v>2.8399000000000001</v>
      </c>
      <c r="C133" s="3">
        <v>541.18997999999999</v>
      </c>
      <c r="D133" s="4">
        <f t="shared" si="5"/>
        <v>9.7594594594594825E-3</v>
      </c>
      <c r="E133" s="4">
        <f t="shared" si="4"/>
        <v>9.0198330000000002</v>
      </c>
    </row>
    <row r="134" spans="1:5" x14ac:dyDescent="0.55000000000000004">
      <c r="A134" s="3">
        <v>34.200000000000003</v>
      </c>
      <c r="B134" s="3">
        <v>2.8481999999999998</v>
      </c>
      <c r="C134" s="3">
        <v>542.79998000000001</v>
      </c>
      <c r="D134" s="4">
        <f t="shared" si="5"/>
        <v>9.8342342342342577E-3</v>
      </c>
      <c r="E134" s="4">
        <f t="shared" si="4"/>
        <v>9.0466663333333326</v>
      </c>
    </row>
    <row r="135" spans="1:5" x14ac:dyDescent="0.55000000000000004">
      <c r="A135" s="3">
        <v>34.299999999999997</v>
      </c>
      <c r="B135" s="3">
        <v>2.8565999999999998</v>
      </c>
      <c r="C135" s="3">
        <v>544.40998000000002</v>
      </c>
      <c r="D135" s="4">
        <f t="shared" si="5"/>
        <v>9.9099099099099336E-3</v>
      </c>
      <c r="E135" s="4">
        <f t="shared" si="4"/>
        <v>9.0734996666666667</v>
      </c>
    </row>
    <row r="136" spans="1:5" x14ac:dyDescent="0.55000000000000004">
      <c r="A136" s="3">
        <v>34.4</v>
      </c>
      <c r="B136" s="3">
        <v>2.8649</v>
      </c>
      <c r="C136" s="3">
        <v>546.02003000000002</v>
      </c>
      <c r="D136" s="4">
        <f t="shared" si="5"/>
        <v>9.9846846846847088E-3</v>
      </c>
      <c r="E136" s="4">
        <f t="shared" si="4"/>
        <v>9.1003338333333339</v>
      </c>
    </row>
    <row r="137" spans="1:5" x14ac:dyDescent="0.55000000000000004">
      <c r="A137" s="3">
        <v>34.5</v>
      </c>
      <c r="B137" s="3">
        <v>2.8732000000000002</v>
      </c>
      <c r="C137" s="3">
        <v>547.63001999999994</v>
      </c>
      <c r="D137" s="4">
        <f t="shared" si="5"/>
        <v>1.0059459459459484E-2</v>
      </c>
      <c r="E137" s="4">
        <f t="shared" si="4"/>
        <v>9.1271669999999983</v>
      </c>
    </row>
    <row r="138" spans="1:5" x14ac:dyDescent="0.55000000000000004">
      <c r="A138" s="3">
        <v>34.6</v>
      </c>
      <c r="B138" s="3">
        <v>2.8816000000000002</v>
      </c>
      <c r="C138" s="3">
        <v>549.25001999999995</v>
      </c>
      <c r="D138" s="4">
        <f t="shared" si="5"/>
        <v>1.013513513513516E-2</v>
      </c>
      <c r="E138" s="4">
        <f t="shared" si="4"/>
        <v>9.1541669999999993</v>
      </c>
    </row>
    <row r="139" spans="1:5" x14ac:dyDescent="0.55000000000000004">
      <c r="A139" s="3">
        <v>34.700000000000003</v>
      </c>
      <c r="B139" s="3">
        <v>2.8898999999999999</v>
      </c>
      <c r="C139" s="3">
        <v>550.04998999999998</v>
      </c>
      <c r="D139" s="4">
        <f t="shared" si="5"/>
        <v>1.0209909909909932E-2</v>
      </c>
      <c r="E139" s="4">
        <f t="shared" si="4"/>
        <v>9.1674998333333324</v>
      </c>
    </row>
    <row r="140" spans="1:5" x14ac:dyDescent="0.55000000000000004">
      <c r="A140" s="3">
        <v>34.799999999999997</v>
      </c>
      <c r="B140" s="3">
        <v>2.8982000000000001</v>
      </c>
      <c r="C140" s="3">
        <v>551.65998999999999</v>
      </c>
      <c r="D140" s="4">
        <f t="shared" si="5"/>
        <v>1.0284684684684711E-2</v>
      </c>
      <c r="E140" s="4">
        <f t="shared" si="4"/>
        <v>9.1943331666666666</v>
      </c>
    </row>
    <row r="141" spans="1:5" x14ac:dyDescent="0.55000000000000004">
      <c r="A141" s="3">
        <v>34.9</v>
      </c>
      <c r="B141" s="3">
        <v>2.9066000000000001</v>
      </c>
      <c r="C141" s="3">
        <v>553.26998000000003</v>
      </c>
      <c r="D141" s="4">
        <f t="shared" si="5"/>
        <v>1.0360360360360386E-2</v>
      </c>
      <c r="E141" s="4">
        <f t="shared" si="4"/>
        <v>9.2211663333333345</v>
      </c>
    </row>
    <row r="142" spans="1:5" x14ac:dyDescent="0.55000000000000004">
      <c r="A142" s="3">
        <v>35</v>
      </c>
      <c r="B142" s="3">
        <v>2.9148999999999998</v>
      </c>
      <c r="C142" s="3">
        <v>554.08001000000002</v>
      </c>
      <c r="D142" s="4">
        <f t="shared" si="5"/>
        <v>1.0435135135135158E-2</v>
      </c>
      <c r="E142" s="4">
        <f t="shared" si="4"/>
        <v>9.2346668333333337</v>
      </c>
    </row>
    <row r="143" spans="1:5" x14ac:dyDescent="0.55000000000000004">
      <c r="A143" s="3">
        <v>35.1</v>
      </c>
      <c r="B143" s="3">
        <v>2.9232</v>
      </c>
      <c r="C143" s="3">
        <v>554.87998000000005</v>
      </c>
      <c r="D143" s="4">
        <f t="shared" si="5"/>
        <v>1.0509909909909933E-2</v>
      </c>
      <c r="E143" s="4">
        <f t="shared" si="4"/>
        <v>9.2479996666666668</v>
      </c>
    </row>
    <row r="144" spans="1:5" x14ac:dyDescent="0.55000000000000004">
      <c r="A144" s="3">
        <v>35.200000000000003</v>
      </c>
      <c r="B144" s="3">
        <v>2.9316</v>
      </c>
      <c r="C144" s="3">
        <v>555.69001000000003</v>
      </c>
      <c r="D144" s="4">
        <f t="shared" si="5"/>
        <v>1.0585585585585609E-2</v>
      </c>
      <c r="E144" s="4">
        <f t="shared" si="4"/>
        <v>9.2615001666666679</v>
      </c>
    </row>
    <row r="145" spans="1:5" x14ac:dyDescent="0.55000000000000004">
      <c r="A145" s="3">
        <v>35.299999999999997</v>
      </c>
      <c r="B145" s="3">
        <v>2.9399000000000002</v>
      </c>
      <c r="C145" s="3">
        <v>556.48996999999997</v>
      </c>
      <c r="D145" s="4">
        <f t="shared" si="5"/>
        <v>1.0660360360360385E-2</v>
      </c>
      <c r="E145" s="4">
        <f t="shared" si="4"/>
        <v>9.274832833333333</v>
      </c>
    </row>
    <row r="146" spans="1:5" x14ac:dyDescent="0.55000000000000004">
      <c r="A146" s="3">
        <v>35.4</v>
      </c>
      <c r="B146" s="3">
        <v>2.9481999999999999</v>
      </c>
      <c r="C146" s="3">
        <v>558.10002999999995</v>
      </c>
      <c r="D146" s="4">
        <f t="shared" si="5"/>
        <v>1.073513513513516E-2</v>
      </c>
      <c r="E146" s="4">
        <f t="shared" si="4"/>
        <v>9.3016671666666664</v>
      </c>
    </row>
    <row r="147" spans="1:5" x14ac:dyDescent="0.55000000000000004">
      <c r="A147" s="3">
        <v>35.5</v>
      </c>
      <c r="B147" s="3">
        <v>2.9565999999999999</v>
      </c>
      <c r="C147" s="3">
        <v>558.91</v>
      </c>
      <c r="D147" s="4">
        <f t="shared" si="5"/>
        <v>1.0810810810810832E-2</v>
      </c>
      <c r="E147" s="4">
        <f t="shared" si="4"/>
        <v>9.3151666666666664</v>
      </c>
    </row>
    <row r="148" spans="1:5" x14ac:dyDescent="0.55000000000000004">
      <c r="A148" s="3">
        <v>35.6</v>
      </c>
      <c r="B148" s="3">
        <v>2.9649000000000001</v>
      </c>
      <c r="C148" s="3">
        <v>558.91</v>
      </c>
      <c r="D148" s="4">
        <f t="shared" si="5"/>
        <v>1.0885585585585611E-2</v>
      </c>
      <c r="E148" s="4">
        <f t="shared" si="4"/>
        <v>9.3151666666666664</v>
      </c>
    </row>
    <row r="149" spans="1:5" x14ac:dyDescent="0.55000000000000004">
      <c r="A149" s="3">
        <v>35.700000000000003</v>
      </c>
      <c r="B149" s="3">
        <v>2.9731999999999998</v>
      </c>
      <c r="C149" s="3">
        <v>559.71001999999999</v>
      </c>
      <c r="D149" s="4">
        <f t="shared" si="5"/>
        <v>1.0960360360360383E-2</v>
      </c>
      <c r="E149" s="4">
        <f t="shared" si="4"/>
        <v>9.3285003333333325</v>
      </c>
    </row>
    <row r="150" spans="1:5" x14ac:dyDescent="0.55000000000000004">
      <c r="A150" s="3">
        <v>35.799999999999997</v>
      </c>
      <c r="B150" s="3">
        <v>2.9815</v>
      </c>
      <c r="C150" s="3">
        <v>559.71001999999999</v>
      </c>
      <c r="D150" s="4">
        <f t="shared" si="5"/>
        <v>1.1035135135135158E-2</v>
      </c>
      <c r="E150" s="4">
        <f t="shared" si="4"/>
        <v>9.3285003333333325</v>
      </c>
    </row>
    <row r="151" spans="1:5" x14ac:dyDescent="0.55000000000000004">
      <c r="A151" s="3">
        <v>35.9</v>
      </c>
      <c r="B151" s="3">
        <v>2.9899</v>
      </c>
      <c r="C151" s="3">
        <v>559.71001999999999</v>
      </c>
      <c r="D151" s="4">
        <f t="shared" si="5"/>
        <v>1.1110810810810834E-2</v>
      </c>
      <c r="E151" s="4">
        <f t="shared" si="4"/>
        <v>9.3285003333333325</v>
      </c>
    </row>
    <row r="152" spans="1:5" x14ac:dyDescent="0.55000000000000004">
      <c r="A152" s="3">
        <v>36</v>
      </c>
      <c r="B152" s="3">
        <v>2.9982000000000002</v>
      </c>
      <c r="C152" s="3">
        <v>559.71001999999999</v>
      </c>
      <c r="D152" s="4">
        <f t="shared" si="5"/>
        <v>1.1185585585585613E-2</v>
      </c>
      <c r="E152" s="4">
        <f t="shared" si="4"/>
        <v>9.3285003333333325</v>
      </c>
    </row>
    <row r="153" spans="1:5" x14ac:dyDescent="0.55000000000000004">
      <c r="A153" s="3">
        <v>36.1</v>
      </c>
      <c r="B153" s="3">
        <v>3.0066000000000002</v>
      </c>
      <c r="C153" s="3">
        <v>559.71001999999999</v>
      </c>
      <c r="D153" s="4">
        <f t="shared" si="5"/>
        <v>1.1261261261261285E-2</v>
      </c>
      <c r="E153" s="4">
        <f t="shared" si="4"/>
        <v>9.3285003333333325</v>
      </c>
    </row>
    <row r="154" spans="1:5" x14ac:dyDescent="0.55000000000000004">
      <c r="A154" s="3">
        <v>36.200000000000003</v>
      </c>
      <c r="B154" s="3">
        <v>3.0148999999999999</v>
      </c>
      <c r="C154" s="3">
        <v>559.71001999999999</v>
      </c>
      <c r="D154" s="4">
        <f t="shared" si="5"/>
        <v>1.133603603603606E-2</v>
      </c>
      <c r="E154" s="4">
        <f t="shared" si="4"/>
        <v>9.3285003333333325</v>
      </c>
    </row>
    <row r="155" spans="1:5" x14ac:dyDescent="0.55000000000000004">
      <c r="A155" s="3">
        <v>36.299999999999997</v>
      </c>
      <c r="B155" s="3">
        <v>3.0232000000000001</v>
      </c>
      <c r="C155" s="3">
        <v>558.10002999999995</v>
      </c>
      <c r="D155" s="4">
        <f t="shared" si="5"/>
        <v>1.1410810810810836E-2</v>
      </c>
      <c r="E155" s="4">
        <f t="shared" si="4"/>
        <v>9.3016671666666664</v>
      </c>
    </row>
    <row r="156" spans="1:5" x14ac:dyDescent="0.55000000000000004">
      <c r="A156" s="3">
        <v>36.4</v>
      </c>
      <c r="B156" s="3">
        <v>3.0316000000000001</v>
      </c>
      <c r="C156" s="3">
        <v>558.10002999999995</v>
      </c>
      <c r="D156" s="4">
        <f t="shared" si="5"/>
        <v>1.1486486486486511E-2</v>
      </c>
      <c r="E156" s="4">
        <f t="shared" si="4"/>
        <v>9.3016671666666664</v>
      </c>
    </row>
    <row r="157" spans="1:5" x14ac:dyDescent="0.55000000000000004">
      <c r="A157" s="3">
        <v>36.5</v>
      </c>
      <c r="B157" s="3">
        <v>3.0398999999999998</v>
      </c>
      <c r="C157" s="3">
        <v>555.69001000000003</v>
      </c>
      <c r="D157" s="4">
        <f t="shared" si="5"/>
        <v>1.1561261261261283E-2</v>
      </c>
      <c r="E157" s="4">
        <f t="shared" si="4"/>
        <v>9.2615001666666679</v>
      </c>
    </row>
    <row r="158" spans="1:5" x14ac:dyDescent="0.55000000000000004">
      <c r="A158" s="3">
        <v>36.6</v>
      </c>
      <c r="B158" s="3">
        <v>3.0482</v>
      </c>
      <c r="C158" s="3">
        <v>553.26998000000003</v>
      </c>
      <c r="D158" s="4">
        <f t="shared" si="5"/>
        <v>1.1636036036036058E-2</v>
      </c>
      <c r="E158" s="4">
        <f t="shared" si="4"/>
        <v>9.2211663333333345</v>
      </c>
    </row>
    <row r="159" spans="1:5" x14ac:dyDescent="0.55000000000000004">
      <c r="A159" s="3">
        <v>36.700000000000003</v>
      </c>
      <c r="B159" s="3">
        <v>3.0565000000000002</v>
      </c>
      <c r="C159" s="3">
        <v>549.25001999999995</v>
      </c>
      <c r="D159" s="4">
        <f t="shared" si="5"/>
        <v>1.1710810810810837E-2</v>
      </c>
      <c r="E159" s="4">
        <f t="shared" si="4"/>
        <v>9.1541669999999993</v>
      </c>
    </row>
    <row r="160" spans="1:5" x14ac:dyDescent="0.55000000000000004">
      <c r="D160" s="4"/>
      <c r="E160" s="4"/>
    </row>
    <row r="161" spans="4:5" x14ac:dyDescent="0.55000000000000004">
      <c r="D161" s="4"/>
      <c r="E161" s="4"/>
    </row>
  </sheetData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335"/>
  <sheetViews>
    <sheetView workbookViewId="0">
      <selection activeCell="H22" sqref="H22"/>
    </sheetView>
  </sheetViews>
  <sheetFormatPr defaultRowHeight="14.4" x14ac:dyDescent="0.55000000000000004"/>
  <cols>
    <col min="1" max="3" width="8.83984375" style="3"/>
    <col min="4" max="4" width="10.89453125" customWidth="1"/>
    <col min="5" max="5" width="6.578125" customWidth="1"/>
  </cols>
  <sheetData>
    <row r="1" spans="1:13" x14ac:dyDescent="0.55000000000000004">
      <c r="A1" s="3" t="s">
        <v>0</v>
      </c>
      <c r="B1" s="3" t="s">
        <v>1</v>
      </c>
      <c r="C1" s="3" t="s">
        <v>2</v>
      </c>
      <c r="D1" s="4" t="s">
        <v>3</v>
      </c>
      <c r="E1" s="4" t="s">
        <v>17</v>
      </c>
    </row>
    <row r="2" spans="1:13" x14ac:dyDescent="0.55000000000000004">
      <c r="A2" s="3" t="s">
        <v>4</v>
      </c>
      <c r="B2" s="3" t="s">
        <v>5</v>
      </c>
      <c r="C2" s="3" t="s">
        <v>6</v>
      </c>
      <c r="D2" s="4" t="s">
        <v>7</v>
      </c>
      <c r="E2" s="4" t="s">
        <v>16</v>
      </c>
    </row>
    <row r="3" spans="1:13" x14ac:dyDescent="0.55000000000000004">
      <c r="A3" s="3">
        <v>3.7</v>
      </c>
      <c r="B3" s="3">
        <v>0.30609999999999998</v>
      </c>
      <c r="C3" s="3">
        <v>25.77</v>
      </c>
      <c r="D3" s="4">
        <f>((B3/$L$3))-0.00275765765765766</f>
        <v>0</v>
      </c>
      <c r="E3" s="4">
        <f t="shared" ref="E3:E29" si="0">C3/$L$4</f>
        <v>0.42949999999999999</v>
      </c>
      <c r="K3" t="s">
        <v>15</v>
      </c>
      <c r="L3">
        <v>111</v>
      </c>
      <c r="M3" t="s">
        <v>9</v>
      </c>
    </row>
    <row r="4" spans="1:13" x14ac:dyDescent="0.55000000000000004">
      <c r="A4" s="3">
        <v>3.8</v>
      </c>
      <c r="B4" s="3">
        <v>0.31440000000000001</v>
      </c>
      <c r="C4" s="3">
        <v>28.99</v>
      </c>
      <c r="D4" s="4">
        <f t="shared" ref="D4:D67" si="1">((B4/$L$3))-0.00275765765765766</f>
        <v>7.4774774774772658E-5</v>
      </c>
      <c r="E4" s="4">
        <f t="shared" si="0"/>
        <v>0.48316666666666663</v>
      </c>
      <c r="K4" t="s">
        <v>14</v>
      </c>
      <c r="L4">
        <f>10*6</f>
        <v>60</v>
      </c>
      <c r="M4" t="s">
        <v>13</v>
      </c>
    </row>
    <row r="5" spans="1:13" x14ac:dyDescent="0.55000000000000004">
      <c r="A5" s="3">
        <v>3.9</v>
      </c>
      <c r="B5" s="3">
        <v>0.32279999999999998</v>
      </c>
      <c r="C5" s="3">
        <v>33.82</v>
      </c>
      <c r="D5" s="4">
        <f t="shared" si="1"/>
        <v>1.504504504504481E-4</v>
      </c>
      <c r="E5" s="4">
        <f t="shared" si="0"/>
        <v>0.56366666666666665</v>
      </c>
    </row>
    <row r="6" spans="1:13" x14ac:dyDescent="0.55000000000000004">
      <c r="A6" s="3">
        <v>4</v>
      </c>
      <c r="B6" s="3">
        <v>0.33110000000000001</v>
      </c>
      <c r="C6" s="3">
        <v>38.65</v>
      </c>
      <c r="D6" s="4">
        <f t="shared" si="1"/>
        <v>2.2522522522522292E-4</v>
      </c>
      <c r="E6" s="4">
        <f t="shared" si="0"/>
        <v>0.64416666666666667</v>
      </c>
    </row>
    <row r="7" spans="1:13" x14ac:dyDescent="0.55000000000000004">
      <c r="A7" s="3">
        <v>4.0999999999999996</v>
      </c>
      <c r="B7" s="3">
        <v>0.33939999999999998</v>
      </c>
      <c r="C7" s="3">
        <v>42.68</v>
      </c>
      <c r="D7" s="4">
        <f t="shared" si="1"/>
        <v>2.9999999999999775E-4</v>
      </c>
      <c r="E7" s="4">
        <f t="shared" si="0"/>
        <v>0.71133333333333337</v>
      </c>
    </row>
    <row r="8" spans="1:13" x14ac:dyDescent="0.55000000000000004">
      <c r="A8" s="3">
        <v>4.2</v>
      </c>
      <c r="B8" s="3">
        <v>0.34770000000000001</v>
      </c>
      <c r="C8" s="3">
        <v>48.32</v>
      </c>
      <c r="D8" s="4">
        <f t="shared" si="1"/>
        <v>3.7477477477477258E-4</v>
      </c>
      <c r="E8" s="4">
        <f t="shared" si="0"/>
        <v>0.80533333333333335</v>
      </c>
    </row>
    <row r="9" spans="1:13" x14ac:dyDescent="0.55000000000000004">
      <c r="A9" s="3">
        <v>4.3</v>
      </c>
      <c r="B9" s="3">
        <v>0.35610000000000003</v>
      </c>
      <c r="C9" s="3">
        <v>52.34</v>
      </c>
      <c r="D9" s="4">
        <f t="shared" si="1"/>
        <v>4.5045045045044845E-4</v>
      </c>
      <c r="E9" s="4">
        <f t="shared" si="0"/>
        <v>0.8723333333333334</v>
      </c>
    </row>
    <row r="10" spans="1:13" x14ac:dyDescent="0.55000000000000004">
      <c r="A10" s="3">
        <v>4.4000000000000004</v>
      </c>
      <c r="B10" s="3">
        <v>0.3644</v>
      </c>
      <c r="C10" s="3">
        <v>57.17</v>
      </c>
      <c r="D10" s="4">
        <f t="shared" si="1"/>
        <v>5.2522522522522328E-4</v>
      </c>
      <c r="E10" s="4">
        <f t="shared" si="0"/>
        <v>0.95283333333333331</v>
      </c>
    </row>
    <row r="11" spans="1:13" x14ac:dyDescent="0.55000000000000004">
      <c r="A11" s="3">
        <v>4.5</v>
      </c>
      <c r="B11" s="3">
        <v>0.37269999999999998</v>
      </c>
      <c r="C11" s="3">
        <v>62.01</v>
      </c>
      <c r="D11" s="4">
        <f t="shared" si="1"/>
        <v>5.9999999999999767E-4</v>
      </c>
      <c r="E11" s="4">
        <f t="shared" si="0"/>
        <v>1.0334999999999999</v>
      </c>
    </row>
    <row r="12" spans="1:13" x14ac:dyDescent="0.55000000000000004">
      <c r="A12" s="3">
        <v>4.5999999999999996</v>
      </c>
      <c r="B12" s="3">
        <v>0.38109999999999999</v>
      </c>
      <c r="C12" s="3">
        <v>66.84</v>
      </c>
      <c r="D12" s="4">
        <f t="shared" si="1"/>
        <v>6.7567567567567354E-4</v>
      </c>
      <c r="E12" s="4">
        <f t="shared" si="0"/>
        <v>1.1140000000000001</v>
      </c>
    </row>
    <row r="13" spans="1:13" x14ac:dyDescent="0.55000000000000004">
      <c r="A13" s="3">
        <v>4.7</v>
      </c>
      <c r="B13" s="3">
        <v>0.38940000000000002</v>
      </c>
      <c r="C13" s="3">
        <v>71.67</v>
      </c>
      <c r="D13" s="4">
        <f t="shared" si="1"/>
        <v>7.5045045045044837E-4</v>
      </c>
      <c r="E13" s="4">
        <f t="shared" si="0"/>
        <v>1.1945000000000001</v>
      </c>
    </row>
    <row r="14" spans="1:13" x14ac:dyDescent="0.55000000000000004">
      <c r="A14" s="3">
        <v>4.8</v>
      </c>
      <c r="B14" s="3">
        <v>0.39779999999999999</v>
      </c>
      <c r="C14" s="3">
        <v>76.5</v>
      </c>
      <c r="D14" s="4">
        <f t="shared" si="1"/>
        <v>8.2612612612612381E-4</v>
      </c>
      <c r="E14" s="4">
        <f t="shared" si="0"/>
        <v>1.2749999999999999</v>
      </c>
    </row>
    <row r="15" spans="1:13" x14ac:dyDescent="0.55000000000000004">
      <c r="A15" s="3">
        <v>4.9000000000000004</v>
      </c>
      <c r="B15" s="3">
        <v>0.40610000000000002</v>
      </c>
      <c r="C15" s="3">
        <v>81.34</v>
      </c>
      <c r="D15" s="4">
        <f t="shared" si="1"/>
        <v>9.0090090090089907E-4</v>
      </c>
      <c r="E15" s="4">
        <f t="shared" si="0"/>
        <v>1.3556666666666668</v>
      </c>
    </row>
    <row r="16" spans="1:13" x14ac:dyDescent="0.55000000000000004">
      <c r="A16" s="3">
        <v>5</v>
      </c>
      <c r="B16" s="3">
        <v>0.41439999999999999</v>
      </c>
      <c r="C16" s="3">
        <v>86.17</v>
      </c>
      <c r="D16" s="4">
        <f t="shared" si="1"/>
        <v>9.7567567567567346E-4</v>
      </c>
      <c r="E16" s="4">
        <f t="shared" si="0"/>
        <v>1.4361666666666666</v>
      </c>
    </row>
    <row r="17" spans="1:13" x14ac:dyDescent="0.55000000000000004">
      <c r="A17" s="3">
        <v>5.0999999999999996</v>
      </c>
      <c r="B17" s="3">
        <v>0.42270000000000002</v>
      </c>
      <c r="C17" s="3">
        <v>91</v>
      </c>
      <c r="D17" s="4">
        <f t="shared" si="1"/>
        <v>1.0504504504504483E-3</v>
      </c>
      <c r="E17" s="4">
        <f t="shared" si="0"/>
        <v>1.5166666666666666</v>
      </c>
    </row>
    <row r="18" spans="1:13" x14ac:dyDescent="0.55000000000000004">
      <c r="A18" s="3">
        <v>5.2</v>
      </c>
      <c r="B18" s="3">
        <v>0.43109999999999998</v>
      </c>
      <c r="C18" s="3">
        <v>95.03</v>
      </c>
      <c r="D18" s="4">
        <f t="shared" si="1"/>
        <v>1.1261261261261237E-3</v>
      </c>
      <c r="E18" s="4">
        <f t="shared" si="0"/>
        <v>1.5838333333333334</v>
      </c>
    </row>
    <row r="19" spans="1:13" x14ac:dyDescent="0.55000000000000004">
      <c r="A19" s="3">
        <v>5.3</v>
      </c>
      <c r="B19" s="3">
        <v>0.43940000000000001</v>
      </c>
      <c r="C19" s="3">
        <v>100.66</v>
      </c>
      <c r="D19" s="4">
        <f t="shared" si="1"/>
        <v>1.200900900900899E-3</v>
      </c>
      <c r="E19" s="4">
        <f t="shared" si="0"/>
        <v>1.6776666666666666</v>
      </c>
    </row>
    <row r="20" spans="1:13" x14ac:dyDescent="0.55000000000000004">
      <c r="A20" s="3">
        <v>5.4</v>
      </c>
      <c r="B20" s="3">
        <v>0.44769999999999999</v>
      </c>
      <c r="C20" s="3">
        <v>105.5</v>
      </c>
      <c r="D20" s="4">
        <f t="shared" si="1"/>
        <v>1.2756756756756734E-3</v>
      </c>
      <c r="E20" s="4">
        <f t="shared" si="0"/>
        <v>1.7583333333333333</v>
      </c>
    </row>
    <row r="21" spans="1:13" x14ac:dyDescent="0.55000000000000004">
      <c r="A21" s="3">
        <v>5.5</v>
      </c>
      <c r="B21" s="3">
        <v>0.45610000000000001</v>
      </c>
      <c r="C21" s="3">
        <v>110.33</v>
      </c>
      <c r="D21" s="4">
        <f t="shared" si="1"/>
        <v>1.3513513513513493E-3</v>
      </c>
      <c r="E21" s="4">
        <f t="shared" si="0"/>
        <v>1.8388333333333333</v>
      </c>
    </row>
    <row r="22" spans="1:13" x14ac:dyDescent="0.55000000000000004">
      <c r="A22" s="3">
        <v>5.6</v>
      </c>
      <c r="B22" s="3">
        <v>0.46439999999999998</v>
      </c>
      <c r="C22" s="3">
        <v>115.16</v>
      </c>
      <c r="D22" s="4">
        <f t="shared" si="1"/>
        <v>1.4261261261261237E-3</v>
      </c>
      <c r="E22" s="4">
        <f t="shared" si="0"/>
        <v>1.9193333333333333</v>
      </c>
    </row>
    <row r="23" spans="1:13" x14ac:dyDescent="0.55000000000000004">
      <c r="A23" s="3">
        <v>5.7</v>
      </c>
      <c r="B23" s="3">
        <v>0.4728</v>
      </c>
      <c r="C23" s="3">
        <v>119.99</v>
      </c>
      <c r="D23" s="4">
        <f t="shared" si="1"/>
        <v>1.5018018018017995E-3</v>
      </c>
      <c r="E23" s="4">
        <f t="shared" si="0"/>
        <v>1.9998333333333334</v>
      </c>
    </row>
    <row r="24" spans="1:13" x14ac:dyDescent="0.55000000000000004">
      <c r="A24" s="3">
        <v>5.8</v>
      </c>
      <c r="B24" s="3">
        <v>0.48110000000000003</v>
      </c>
      <c r="C24" s="3">
        <v>124.82001</v>
      </c>
      <c r="D24" s="4">
        <f t="shared" si="1"/>
        <v>1.5765765765765748E-3</v>
      </c>
      <c r="E24" s="4">
        <f t="shared" si="0"/>
        <v>2.0803335000000001</v>
      </c>
    </row>
    <row r="25" spans="1:13" x14ac:dyDescent="0.55000000000000004">
      <c r="A25" s="3">
        <v>5.9</v>
      </c>
      <c r="B25" s="3">
        <v>0.4894</v>
      </c>
      <c r="C25" s="3">
        <v>129.66</v>
      </c>
      <c r="D25" s="4">
        <f t="shared" si="1"/>
        <v>1.6513513513513492E-3</v>
      </c>
      <c r="E25" s="4">
        <f t="shared" si="0"/>
        <v>2.161</v>
      </c>
    </row>
    <row r="26" spans="1:13" x14ac:dyDescent="0.55000000000000004">
      <c r="A26" s="3">
        <v>6</v>
      </c>
      <c r="B26" s="3">
        <v>0.49769999999999998</v>
      </c>
      <c r="C26" s="3">
        <v>134.49</v>
      </c>
      <c r="D26" s="4">
        <f t="shared" si="1"/>
        <v>1.7261261261261236E-3</v>
      </c>
      <c r="E26" s="4">
        <f t="shared" si="0"/>
        <v>2.2415000000000003</v>
      </c>
      <c r="J26" s="5" t="s">
        <v>12</v>
      </c>
      <c r="K26" s="5"/>
      <c r="L26" s="6">
        <f>MAX(E:E)</f>
        <v>9.1943331666666666</v>
      </c>
      <c r="M26" s="5" t="s">
        <v>11</v>
      </c>
    </row>
    <row r="27" spans="1:13" x14ac:dyDescent="0.55000000000000004">
      <c r="A27" s="3">
        <v>6.1</v>
      </c>
      <c r="B27" s="3">
        <v>0.50609999999999999</v>
      </c>
      <c r="C27" s="3">
        <v>139.32</v>
      </c>
      <c r="D27" s="4">
        <f t="shared" si="1"/>
        <v>1.8018018018017994E-3</v>
      </c>
      <c r="E27" s="4">
        <f t="shared" si="0"/>
        <v>2.3220000000000001</v>
      </c>
      <c r="J27" s="5" t="s">
        <v>10</v>
      </c>
      <c r="K27" s="5"/>
      <c r="L27" s="5">
        <v>9.6837837837837823E-3</v>
      </c>
      <c r="M27" s="5" t="s">
        <v>18</v>
      </c>
    </row>
    <row r="28" spans="1:13" x14ac:dyDescent="0.55000000000000004">
      <c r="A28" s="3">
        <v>6.2</v>
      </c>
      <c r="B28" s="3">
        <v>0.51439999999999997</v>
      </c>
      <c r="C28" s="3">
        <v>144.15</v>
      </c>
      <c r="D28" s="4">
        <f t="shared" si="1"/>
        <v>1.8765765765765738E-3</v>
      </c>
      <c r="E28" s="4">
        <f t="shared" si="0"/>
        <v>2.4025000000000003</v>
      </c>
    </row>
    <row r="29" spans="1:13" x14ac:dyDescent="0.55000000000000004">
      <c r="A29" s="3">
        <v>6.3</v>
      </c>
      <c r="B29" s="3">
        <v>0.52270000000000005</v>
      </c>
      <c r="C29" s="3">
        <v>148.99001000000001</v>
      </c>
      <c r="D29" s="4">
        <f t="shared" si="1"/>
        <v>1.95135135135135E-3</v>
      </c>
      <c r="E29" s="4">
        <f t="shared" si="0"/>
        <v>2.4831668333333337</v>
      </c>
    </row>
    <row r="30" spans="1:13" x14ac:dyDescent="0.55000000000000004">
      <c r="A30" s="3">
        <v>6.4</v>
      </c>
      <c r="B30" s="3">
        <v>0.53110000000000002</v>
      </c>
      <c r="C30" s="3">
        <v>153.81998999999999</v>
      </c>
      <c r="D30" s="4">
        <f t="shared" si="1"/>
        <v>2.027027027027025E-3</v>
      </c>
      <c r="E30" s="4">
        <f t="shared" ref="E30:E93" si="2">C30/$L$4</f>
        <v>2.5636664999999996</v>
      </c>
    </row>
    <row r="31" spans="1:13" x14ac:dyDescent="0.55000000000000004">
      <c r="A31" s="3">
        <v>6.5</v>
      </c>
      <c r="B31" s="3">
        <v>0.53939999999999999</v>
      </c>
      <c r="C31" s="3">
        <v>158.64999</v>
      </c>
      <c r="D31" s="4">
        <f t="shared" si="1"/>
        <v>2.1018018018017994E-3</v>
      </c>
      <c r="E31" s="4">
        <f t="shared" si="2"/>
        <v>2.6441664999999999</v>
      </c>
    </row>
    <row r="32" spans="1:13" x14ac:dyDescent="0.55000000000000004">
      <c r="A32" s="3">
        <v>6.6</v>
      </c>
      <c r="B32" s="3">
        <v>0.54779999999999995</v>
      </c>
      <c r="C32" s="3">
        <v>163.47999999999999</v>
      </c>
      <c r="D32" s="4">
        <f t="shared" si="1"/>
        <v>2.1774774774774752E-3</v>
      </c>
      <c r="E32" s="4">
        <f t="shared" si="2"/>
        <v>2.7246666666666663</v>
      </c>
    </row>
    <row r="33" spans="1:5" x14ac:dyDescent="0.55000000000000004">
      <c r="A33" s="3">
        <v>6.7</v>
      </c>
      <c r="B33" s="3">
        <v>0.55610000000000004</v>
      </c>
      <c r="C33" s="3">
        <v>168.31</v>
      </c>
      <c r="D33" s="4">
        <f t="shared" si="1"/>
        <v>2.2522522522522505E-3</v>
      </c>
      <c r="E33" s="4">
        <f t="shared" si="2"/>
        <v>2.8051666666666666</v>
      </c>
    </row>
    <row r="34" spans="1:5" x14ac:dyDescent="0.55000000000000004">
      <c r="A34" s="3">
        <v>6.8</v>
      </c>
      <c r="B34" s="3">
        <v>0.56440000000000001</v>
      </c>
      <c r="C34" s="3">
        <v>173.15</v>
      </c>
      <c r="D34" s="4">
        <f t="shared" si="1"/>
        <v>2.3270270270270249E-3</v>
      </c>
      <c r="E34" s="4">
        <f t="shared" si="2"/>
        <v>2.8858333333333333</v>
      </c>
    </row>
    <row r="35" spans="1:5" x14ac:dyDescent="0.55000000000000004">
      <c r="A35" s="3">
        <v>6.9</v>
      </c>
      <c r="B35" s="3">
        <v>0.57269999999999999</v>
      </c>
      <c r="C35" s="3">
        <v>178.78</v>
      </c>
      <c r="D35" s="4">
        <f t="shared" si="1"/>
        <v>2.4018018018017993E-3</v>
      </c>
      <c r="E35" s="4">
        <f t="shared" si="2"/>
        <v>2.9796666666666667</v>
      </c>
    </row>
    <row r="36" spans="1:5" x14ac:dyDescent="0.55000000000000004">
      <c r="A36" s="3">
        <v>7</v>
      </c>
      <c r="B36" s="3">
        <v>0.58109999999999995</v>
      </c>
      <c r="C36" s="3">
        <v>183.62001000000001</v>
      </c>
      <c r="D36" s="4">
        <f t="shared" si="1"/>
        <v>2.4774774774774752E-3</v>
      </c>
      <c r="E36" s="4">
        <f t="shared" si="2"/>
        <v>3.0603335</v>
      </c>
    </row>
    <row r="37" spans="1:5" x14ac:dyDescent="0.55000000000000004">
      <c r="A37" s="3">
        <v>7.1</v>
      </c>
      <c r="B37" s="3">
        <v>0.58940000000000003</v>
      </c>
      <c r="C37" s="3">
        <v>189.25</v>
      </c>
      <c r="D37" s="4">
        <f t="shared" si="1"/>
        <v>2.5522522522522504E-3</v>
      </c>
      <c r="E37" s="4">
        <f t="shared" si="2"/>
        <v>3.1541666666666668</v>
      </c>
    </row>
    <row r="38" spans="1:5" x14ac:dyDescent="0.55000000000000004">
      <c r="A38" s="3">
        <v>7.2</v>
      </c>
      <c r="B38" s="3">
        <v>0.59770000000000001</v>
      </c>
      <c r="C38" s="3">
        <v>194.08000999999999</v>
      </c>
      <c r="D38" s="4">
        <f t="shared" si="1"/>
        <v>2.6270270270270248E-3</v>
      </c>
      <c r="E38" s="4">
        <f t="shared" si="2"/>
        <v>3.2346668333333333</v>
      </c>
    </row>
    <row r="39" spans="1:5" x14ac:dyDescent="0.55000000000000004">
      <c r="A39" s="3">
        <v>7.3</v>
      </c>
      <c r="B39" s="3">
        <v>0.60609999999999997</v>
      </c>
      <c r="C39" s="3">
        <v>198.92</v>
      </c>
      <c r="D39" s="4">
        <f t="shared" si="1"/>
        <v>2.7027027027027007E-3</v>
      </c>
      <c r="E39" s="4">
        <f t="shared" si="2"/>
        <v>3.3153333333333332</v>
      </c>
    </row>
    <row r="40" spans="1:5" x14ac:dyDescent="0.55000000000000004">
      <c r="A40" s="3">
        <v>7.4</v>
      </c>
      <c r="B40" s="3">
        <v>0.61439999999999995</v>
      </c>
      <c r="C40" s="3">
        <v>203.75</v>
      </c>
      <c r="D40" s="4">
        <f t="shared" si="1"/>
        <v>2.7774774774774751E-3</v>
      </c>
      <c r="E40" s="4">
        <f t="shared" si="2"/>
        <v>3.3958333333333335</v>
      </c>
    </row>
    <row r="41" spans="1:5" x14ac:dyDescent="0.55000000000000004">
      <c r="A41" s="3">
        <v>7.5</v>
      </c>
      <c r="B41" s="3">
        <v>0.62280000000000002</v>
      </c>
      <c r="C41" s="3">
        <v>208.58</v>
      </c>
      <c r="D41" s="4">
        <f t="shared" si="1"/>
        <v>2.853153153153151E-3</v>
      </c>
      <c r="E41" s="4">
        <f t="shared" si="2"/>
        <v>3.4763333333333337</v>
      </c>
    </row>
    <row r="42" spans="1:5" x14ac:dyDescent="0.55000000000000004">
      <c r="A42" s="3">
        <v>7.6</v>
      </c>
      <c r="B42" s="3">
        <v>0.63109999999999999</v>
      </c>
      <c r="C42" s="3">
        <v>214.22</v>
      </c>
      <c r="D42" s="4">
        <f t="shared" si="1"/>
        <v>2.9279279279279253E-3</v>
      </c>
      <c r="E42" s="4">
        <f t="shared" si="2"/>
        <v>3.5703333333333331</v>
      </c>
    </row>
    <row r="43" spans="1:5" x14ac:dyDescent="0.55000000000000004">
      <c r="A43" s="3">
        <v>7.7</v>
      </c>
      <c r="B43" s="3">
        <v>0.63939999999999997</v>
      </c>
      <c r="C43" s="3">
        <v>219.05</v>
      </c>
      <c r="D43" s="4">
        <f t="shared" si="1"/>
        <v>3.0027027027027006E-3</v>
      </c>
      <c r="E43" s="4">
        <f t="shared" si="2"/>
        <v>3.6508333333333334</v>
      </c>
    </row>
    <row r="44" spans="1:5" x14ac:dyDescent="0.55000000000000004">
      <c r="A44" s="3">
        <v>7.8</v>
      </c>
      <c r="B44" s="3">
        <v>0.64770000000000005</v>
      </c>
      <c r="C44" s="3">
        <v>224.69</v>
      </c>
      <c r="D44" s="4">
        <f t="shared" si="1"/>
        <v>3.0774774774774759E-3</v>
      </c>
      <c r="E44" s="4">
        <f t="shared" si="2"/>
        <v>3.7448333333333332</v>
      </c>
    </row>
    <row r="45" spans="1:5" x14ac:dyDescent="0.55000000000000004">
      <c r="A45" s="3">
        <v>7.9</v>
      </c>
      <c r="B45" s="3">
        <v>0.65610000000000002</v>
      </c>
      <c r="C45" s="3">
        <v>229.52001000000001</v>
      </c>
      <c r="D45" s="4">
        <f t="shared" si="1"/>
        <v>3.1531531531531509E-3</v>
      </c>
      <c r="E45" s="4">
        <f t="shared" si="2"/>
        <v>3.8253335000000002</v>
      </c>
    </row>
    <row r="46" spans="1:5" x14ac:dyDescent="0.55000000000000004">
      <c r="A46" s="3">
        <v>8</v>
      </c>
      <c r="B46" s="3">
        <v>0.66439999999999999</v>
      </c>
      <c r="C46" s="3">
        <v>235.15998999999999</v>
      </c>
      <c r="D46" s="4">
        <f t="shared" si="1"/>
        <v>3.2279279279279253E-3</v>
      </c>
      <c r="E46" s="4">
        <f t="shared" si="2"/>
        <v>3.9193331666666666</v>
      </c>
    </row>
    <row r="47" spans="1:5" x14ac:dyDescent="0.55000000000000004">
      <c r="A47" s="3">
        <v>8.1</v>
      </c>
      <c r="B47" s="3">
        <v>0.67269999999999996</v>
      </c>
      <c r="C47" s="3">
        <v>240.80000999999999</v>
      </c>
      <c r="D47" s="4">
        <f t="shared" si="1"/>
        <v>3.3027027027027005E-3</v>
      </c>
      <c r="E47" s="4">
        <f t="shared" si="2"/>
        <v>4.0133334999999999</v>
      </c>
    </row>
    <row r="48" spans="1:5" x14ac:dyDescent="0.55000000000000004">
      <c r="A48" s="3">
        <v>8.1999999999999993</v>
      </c>
      <c r="B48" s="3">
        <v>0.68110000000000004</v>
      </c>
      <c r="C48" s="3">
        <v>244.82</v>
      </c>
      <c r="D48" s="4">
        <f t="shared" si="1"/>
        <v>3.3783783783783764E-3</v>
      </c>
      <c r="E48" s="4">
        <f t="shared" si="2"/>
        <v>4.0803333333333329</v>
      </c>
    </row>
    <row r="49" spans="1:5" x14ac:dyDescent="0.55000000000000004">
      <c r="A49" s="3">
        <v>8.3000000000000007</v>
      </c>
      <c r="B49" s="3">
        <v>0.68940000000000001</v>
      </c>
      <c r="C49" s="3">
        <v>250.46001000000001</v>
      </c>
      <c r="D49" s="4">
        <f t="shared" si="1"/>
        <v>3.4531531531531508E-3</v>
      </c>
      <c r="E49" s="4">
        <f t="shared" si="2"/>
        <v>4.1743335000000004</v>
      </c>
    </row>
    <row r="50" spans="1:5" x14ac:dyDescent="0.55000000000000004">
      <c r="A50" s="3">
        <v>8.4</v>
      </c>
      <c r="B50" s="3">
        <v>0.69779999999999998</v>
      </c>
      <c r="C50" s="3">
        <v>255.29</v>
      </c>
      <c r="D50" s="4">
        <f t="shared" si="1"/>
        <v>3.5288288288288267E-3</v>
      </c>
      <c r="E50" s="4">
        <f t="shared" si="2"/>
        <v>4.254833333333333</v>
      </c>
    </row>
    <row r="51" spans="1:5" x14ac:dyDescent="0.55000000000000004">
      <c r="A51" s="3">
        <v>8.5</v>
      </c>
      <c r="B51" s="3">
        <v>0.70609999999999995</v>
      </c>
      <c r="C51" s="3">
        <v>260.92998999999998</v>
      </c>
      <c r="D51" s="4">
        <f t="shared" si="1"/>
        <v>3.6036036036036011E-3</v>
      </c>
      <c r="E51" s="4">
        <f t="shared" si="2"/>
        <v>4.3488331666666662</v>
      </c>
    </row>
    <row r="52" spans="1:5" x14ac:dyDescent="0.55000000000000004">
      <c r="A52" s="3">
        <v>8.6</v>
      </c>
      <c r="B52" s="3">
        <v>0.71440000000000003</v>
      </c>
      <c r="C52" s="3">
        <v>265.76</v>
      </c>
      <c r="D52" s="4">
        <f t="shared" si="1"/>
        <v>3.6783783783783763E-3</v>
      </c>
      <c r="E52" s="4">
        <f t="shared" si="2"/>
        <v>4.4293333333333331</v>
      </c>
    </row>
    <row r="53" spans="1:5" x14ac:dyDescent="0.55000000000000004">
      <c r="A53" s="3">
        <v>8.6999999999999993</v>
      </c>
      <c r="B53" s="3">
        <v>0.72270000000000001</v>
      </c>
      <c r="C53" s="3">
        <v>270.58999</v>
      </c>
      <c r="D53" s="4">
        <f t="shared" si="1"/>
        <v>3.7531531531531507E-3</v>
      </c>
      <c r="E53" s="4">
        <f t="shared" si="2"/>
        <v>4.5098331666666667</v>
      </c>
    </row>
    <row r="54" spans="1:5" x14ac:dyDescent="0.55000000000000004">
      <c r="A54" s="3">
        <v>8.8000000000000007</v>
      </c>
      <c r="B54" s="3">
        <v>0.73109999999999997</v>
      </c>
      <c r="C54" s="3">
        <v>276.23000999999999</v>
      </c>
      <c r="D54" s="4">
        <f t="shared" si="1"/>
        <v>3.8288288288288266E-3</v>
      </c>
      <c r="E54" s="4">
        <f t="shared" si="2"/>
        <v>4.6038334999999995</v>
      </c>
    </row>
    <row r="55" spans="1:5" x14ac:dyDescent="0.55000000000000004">
      <c r="A55" s="3">
        <v>8.9</v>
      </c>
      <c r="B55" s="3">
        <v>0.73939999999999995</v>
      </c>
      <c r="C55" s="3">
        <v>281.05999000000003</v>
      </c>
      <c r="D55" s="4">
        <f t="shared" si="1"/>
        <v>3.903603603603601E-3</v>
      </c>
      <c r="E55" s="4">
        <f t="shared" si="2"/>
        <v>4.6843331666666668</v>
      </c>
    </row>
    <row r="56" spans="1:5" x14ac:dyDescent="0.55000000000000004">
      <c r="A56" s="3">
        <v>9</v>
      </c>
      <c r="B56" s="3">
        <v>0.74770000000000003</v>
      </c>
      <c r="C56" s="3">
        <v>285.89001000000002</v>
      </c>
      <c r="D56" s="4">
        <f t="shared" si="1"/>
        <v>3.9783783783783767E-3</v>
      </c>
      <c r="E56" s="4">
        <f t="shared" si="2"/>
        <v>4.7648334999999999</v>
      </c>
    </row>
    <row r="57" spans="1:5" x14ac:dyDescent="0.55000000000000004">
      <c r="A57" s="3">
        <v>9.1</v>
      </c>
      <c r="B57" s="3">
        <v>0.75609999999999999</v>
      </c>
      <c r="C57" s="3">
        <v>290.73</v>
      </c>
      <c r="D57" s="4">
        <f t="shared" si="1"/>
        <v>4.0540540540540525E-3</v>
      </c>
      <c r="E57" s="4">
        <f t="shared" si="2"/>
        <v>4.8455000000000004</v>
      </c>
    </row>
    <row r="58" spans="1:5" x14ac:dyDescent="0.55000000000000004">
      <c r="A58" s="3">
        <v>9.1999999999999993</v>
      </c>
      <c r="B58" s="3">
        <v>0.76439999999999997</v>
      </c>
      <c r="C58" s="3">
        <v>296.36000999999999</v>
      </c>
      <c r="D58" s="4">
        <f t="shared" si="1"/>
        <v>4.1288288288288261E-3</v>
      </c>
      <c r="E58" s="4">
        <f t="shared" si="2"/>
        <v>4.9393335</v>
      </c>
    </row>
    <row r="59" spans="1:5" x14ac:dyDescent="0.55000000000000004">
      <c r="A59" s="3">
        <v>9.3000000000000007</v>
      </c>
      <c r="B59" s="3">
        <v>0.77280000000000004</v>
      </c>
      <c r="C59" s="3">
        <v>300.39</v>
      </c>
      <c r="D59" s="4">
        <f t="shared" si="1"/>
        <v>4.2045045045045019E-3</v>
      </c>
      <c r="E59" s="4">
        <f t="shared" si="2"/>
        <v>5.0065</v>
      </c>
    </row>
    <row r="60" spans="1:5" x14ac:dyDescent="0.55000000000000004">
      <c r="A60" s="3">
        <v>9.4</v>
      </c>
      <c r="B60" s="3">
        <v>0.78110000000000002</v>
      </c>
      <c r="C60" s="3">
        <v>305.21999</v>
      </c>
      <c r="D60" s="4">
        <f t="shared" si="1"/>
        <v>4.2792792792792772E-3</v>
      </c>
      <c r="E60" s="4">
        <f t="shared" si="2"/>
        <v>5.0869998333333335</v>
      </c>
    </row>
    <row r="61" spans="1:5" x14ac:dyDescent="0.55000000000000004">
      <c r="A61" s="3">
        <v>9.5</v>
      </c>
      <c r="B61" s="3">
        <v>0.78939999999999999</v>
      </c>
      <c r="C61" s="3">
        <v>310.86000999999999</v>
      </c>
      <c r="D61" s="4">
        <f t="shared" si="1"/>
        <v>4.3540540540540525E-3</v>
      </c>
      <c r="E61" s="4">
        <f t="shared" si="2"/>
        <v>5.1810001666666663</v>
      </c>
    </row>
    <row r="62" spans="1:5" x14ac:dyDescent="0.55000000000000004">
      <c r="A62" s="3">
        <v>9.6</v>
      </c>
      <c r="B62" s="3">
        <v>0.79779999999999995</v>
      </c>
      <c r="C62" s="3">
        <v>315.68999000000002</v>
      </c>
      <c r="D62" s="4">
        <f t="shared" si="1"/>
        <v>4.4297297297297266E-3</v>
      </c>
      <c r="E62" s="4">
        <f t="shared" si="2"/>
        <v>5.2614998333333336</v>
      </c>
    </row>
    <row r="63" spans="1:5" x14ac:dyDescent="0.55000000000000004">
      <c r="A63" s="3">
        <v>9.6999999999999993</v>
      </c>
      <c r="B63" s="3">
        <v>0.80610000000000004</v>
      </c>
      <c r="C63" s="3">
        <v>320.53001</v>
      </c>
      <c r="D63" s="4">
        <f t="shared" si="1"/>
        <v>4.5045045045045019E-3</v>
      </c>
      <c r="E63" s="4">
        <f t="shared" si="2"/>
        <v>5.3421668333333336</v>
      </c>
    </row>
    <row r="64" spans="1:5" x14ac:dyDescent="0.55000000000000004">
      <c r="A64" s="3">
        <v>9.8000000000000007</v>
      </c>
      <c r="B64" s="3">
        <v>0.81440000000000001</v>
      </c>
      <c r="C64" s="3">
        <v>325.36</v>
      </c>
      <c r="D64" s="4">
        <f t="shared" si="1"/>
        <v>4.5792792792792771E-3</v>
      </c>
      <c r="E64" s="4">
        <f t="shared" si="2"/>
        <v>5.4226666666666672</v>
      </c>
    </row>
    <row r="65" spans="1:5" x14ac:dyDescent="0.55000000000000004">
      <c r="A65" s="3">
        <v>9.9</v>
      </c>
      <c r="B65" s="3">
        <v>0.82269999999999999</v>
      </c>
      <c r="C65" s="3">
        <v>330.18999000000002</v>
      </c>
      <c r="D65" s="4">
        <f t="shared" si="1"/>
        <v>4.6540540540540524E-3</v>
      </c>
      <c r="E65" s="4">
        <f t="shared" si="2"/>
        <v>5.5031665000000007</v>
      </c>
    </row>
    <row r="66" spans="1:5" x14ac:dyDescent="0.55000000000000004">
      <c r="A66" s="3">
        <v>10</v>
      </c>
      <c r="B66" s="3">
        <v>0.83109999999999995</v>
      </c>
      <c r="C66" s="3">
        <v>335.02</v>
      </c>
      <c r="D66" s="4">
        <f t="shared" si="1"/>
        <v>4.7297297297297265E-3</v>
      </c>
      <c r="E66" s="4">
        <f t="shared" si="2"/>
        <v>5.5836666666666668</v>
      </c>
    </row>
    <row r="67" spans="1:5" x14ac:dyDescent="0.55000000000000004">
      <c r="A67" s="3">
        <v>10.1</v>
      </c>
      <c r="B67" s="3">
        <v>0.83940000000000003</v>
      </c>
      <c r="C67" s="3">
        <v>339.84998999999999</v>
      </c>
      <c r="D67" s="4">
        <f t="shared" si="1"/>
        <v>4.8045045045045018E-3</v>
      </c>
      <c r="E67" s="4">
        <f t="shared" si="2"/>
        <v>5.6641664999999994</v>
      </c>
    </row>
    <row r="68" spans="1:5" x14ac:dyDescent="0.55000000000000004">
      <c r="A68" s="3">
        <v>10.199999999999999</v>
      </c>
      <c r="B68" s="3">
        <v>0.84770000000000001</v>
      </c>
      <c r="C68" s="3">
        <v>344.69000999999997</v>
      </c>
      <c r="D68" s="4">
        <f t="shared" ref="D68:D131" si="3">((B68/$L$3))-0.00275765765765766</f>
        <v>4.879279279279277E-3</v>
      </c>
      <c r="E68" s="4">
        <f t="shared" si="2"/>
        <v>5.7448334999999995</v>
      </c>
    </row>
    <row r="69" spans="1:5" x14ac:dyDescent="0.55000000000000004">
      <c r="A69" s="3">
        <v>10.3</v>
      </c>
      <c r="B69" s="3">
        <v>0.85609999999999997</v>
      </c>
      <c r="C69" s="3">
        <v>349.52</v>
      </c>
      <c r="D69" s="4">
        <f t="shared" si="3"/>
        <v>4.9549549549549529E-3</v>
      </c>
      <c r="E69" s="4">
        <f t="shared" si="2"/>
        <v>5.825333333333333</v>
      </c>
    </row>
    <row r="70" spans="1:5" x14ac:dyDescent="0.55000000000000004">
      <c r="A70" s="3">
        <v>10.4</v>
      </c>
      <c r="B70" s="3">
        <v>0.86439999999999995</v>
      </c>
      <c r="C70" s="3">
        <v>354.35001</v>
      </c>
      <c r="D70" s="4">
        <f t="shared" si="3"/>
        <v>5.0297297297297264E-3</v>
      </c>
      <c r="E70" s="4">
        <f t="shared" si="2"/>
        <v>5.9058335</v>
      </c>
    </row>
    <row r="71" spans="1:5" x14ac:dyDescent="0.55000000000000004">
      <c r="A71" s="3">
        <v>10.5</v>
      </c>
      <c r="B71" s="3">
        <v>0.87280000000000002</v>
      </c>
      <c r="C71" s="3">
        <v>358.38</v>
      </c>
      <c r="D71" s="4">
        <f t="shared" si="3"/>
        <v>5.1054054054054041E-3</v>
      </c>
      <c r="E71" s="4">
        <f t="shared" si="2"/>
        <v>5.9729999999999999</v>
      </c>
    </row>
    <row r="72" spans="1:5" x14ac:dyDescent="0.55000000000000004">
      <c r="A72" s="3">
        <v>10.6</v>
      </c>
      <c r="B72" s="3">
        <v>0.88109999999999999</v>
      </c>
      <c r="C72" s="3">
        <v>363.20999</v>
      </c>
      <c r="D72" s="4">
        <f t="shared" si="3"/>
        <v>5.1801801801801776E-3</v>
      </c>
      <c r="E72" s="4">
        <f t="shared" si="2"/>
        <v>6.0534998333333334</v>
      </c>
    </row>
    <row r="73" spans="1:5" x14ac:dyDescent="0.55000000000000004">
      <c r="A73" s="3">
        <v>10.7</v>
      </c>
      <c r="B73" s="3">
        <v>0.88939999999999997</v>
      </c>
      <c r="C73" s="3">
        <v>368.04001</v>
      </c>
      <c r="D73" s="4">
        <f t="shared" si="3"/>
        <v>5.2549549549549528E-3</v>
      </c>
      <c r="E73" s="4">
        <f t="shared" si="2"/>
        <v>6.1340001666666666</v>
      </c>
    </row>
    <row r="74" spans="1:5" x14ac:dyDescent="0.55000000000000004">
      <c r="A74" s="3">
        <v>10.8</v>
      </c>
      <c r="B74" s="3">
        <v>0.89770000000000005</v>
      </c>
      <c r="C74" s="3">
        <v>372.07</v>
      </c>
      <c r="D74" s="4">
        <f t="shared" si="3"/>
        <v>5.3297297297297281E-3</v>
      </c>
      <c r="E74" s="4">
        <f t="shared" si="2"/>
        <v>6.2011666666666665</v>
      </c>
    </row>
    <row r="75" spans="1:5" x14ac:dyDescent="0.55000000000000004">
      <c r="A75" s="3">
        <v>10.9</v>
      </c>
      <c r="B75" s="3">
        <v>0.90610000000000002</v>
      </c>
      <c r="C75" s="3">
        <v>376.89999</v>
      </c>
      <c r="D75" s="4">
        <f t="shared" si="3"/>
        <v>5.405405405405404E-3</v>
      </c>
      <c r="E75" s="4">
        <f t="shared" si="2"/>
        <v>6.2816665</v>
      </c>
    </row>
    <row r="76" spans="1:5" x14ac:dyDescent="0.55000000000000004">
      <c r="A76" s="3">
        <v>11</v>
      </c>
      <c r="B76" s="3">
        <v>0.91439999999999999</v>
      </c>
      <c r="C76" s="3">
        <v>380.93000999999998</v>
      </c>
      <c r="D76" s="4">
        <f t="shared" si="3"/>
        <v>5.4801801801801775E-3</v>
      </c>
      <c r="E76" s="4">
        <f t="shared" si="2"/>
        <v>6.3488334999999996</v>
      </c>
    </row>
    <row r="77" spans="1:5" x14ac:dyDescent="0.55000000000000004">
      <c r="A77" s="3">
        <v>11.1</v>
      </c>
      <c r="B77" s="3">
        <v>0.92269999999999996</v>
      </c>
      <c r="C77" s="3">
        <v>385.75999000000002</v>
      </c>
      <c r="D77" s="4">
        <f t="shared" si="3"/>
        <v>5.5549549549549528E-3</v>
      </c>
      <c r="E77" s="4">
        <f t="shared" si="2"/>
        <v>6.4293331666666669</v>
      </c>
    </row>
    <row r="78" spans="1:5" x14ac:dyDescent="0.55000000000000004">
      <c r="A78" s="3">
        <v>11.2</v>
      </c>
      <c r="B78" s="3">
        <v>0.93110000000000004</v>
      </c>
      <c r="C78" s="3">
        <v>389.79001</v>
      </c>
      <c r="D78" s="4">
        <f t="shared" si="3"/>
        <v>5.6306306306306286E-3</v>
      </c>
      <c r="E78" s="4">
        <f t="shared" si="2"/>
        <v>6.4965001666666664</v>
      </c>
    </row>
    <row r="79" spans="1:5" x14ac:dyDescent="0.55000000000000004">
      <c r="A79" s="3">
        <v>11.3</v>
      </c>
      <c r="B79" s="3">
        <v>0.93940000000000001</v>
      </c>
      <c r="C79" s="3">
        <v>394.62</v>
      </c>
      <c r="D79" s="4">
        <f t="shared" si="3"/>
        <v>5.7054054054054039E-3</v>
      </c>
      <c r="E79" s="4">
        <f t="shared" si="2"/>
        <v>6.577</v>
      </c>
    </row>
    <row r="80" spans="1:5" x14ac:dyDescent="0.55000000000000004">
      <c r="A80" s="3">
        <v>11.4</v>
      </c>
      <c r="B80" s="3">
        <v>0.94779999999999998</v>
      </c>
      <c r="C80" s="3">
        <v>398.63999000000001</v>
      </c>
      <c r="D80" s="4">
        <f t="shared" si="3"/>
        <v>5.7810810810810798E-3</v>
      </c>
      <c r="E80" s="4">
        <f t="shared" si="2"/>
        <v>6.6439998333333339</v>
      </c>
    </row>
    <row r="81" spans="1:5" x14ac:dyDescent="0.55000000000000004">
      <c r="A81" s="3">
        <v>11.5</v>
      </c>
      <c r="B81" s="3">
        <v>0.95609999999999995</v>
      </c>
      <c r="C81" s="3">
        <v>403.48000999999999</v>
      </c>
      <c r="D81" s="4">
        <f t="shared" si="3"/>
        <v>5.8558558558558533E-3</v>
      </c>
      <c r="E81" s="4">
        <f t="shared" si="2"/>
        <v>6.724666833333333</v>
      </c>
    </row>
    <row r="82" spans="1:5" x14ac:dyDescent="0.55000000000000004">
      <c r="A82" s="3">
        <v>11.6</v>
      </c>
      <c r="B82" s="3">
        <v>0.96440000000000003</v>
      </c>
      <c r="C82" s="3">
        <v>407.5</v>
      </c>
      <c r="D82" s="4">
        <f t="shared" si="3"/>
        <v>5.9306306306306285E-3</v>
      </c>
      <c r="E82" s="4">
        <f t="shared" si="2"/>
        <v>6.791666666666667</v>
      </c>
    </row>
    <row r="83" spans="1:5" x14ac:dyDescent="0.55000000000000004">
      <c r="A83" s="3">
        <v>11.7</v>
      </c>
      <c r="B83" s="3">
        <v>0.97270000000000001</v>
      </c>
      <c r="C83" s="3">
        <v>411.52999</v>
      </c>
      <c r="D83" s="4">
        <f t="shared" si="3"/>
        <v>6.0054054054054038E-3</v>
      </c>
      <c r="E83" s="4">
        <f t="shared" si="2"/>
        <v>6.8588331666666669</v>
      </c>
    </row>
    <row r="84" spans="1:5" x14ac:dyDescent="0.55000000000000004">
      <c r="A84" s="3">
        <v>11.8</v>
      </c>
      <c r="B84" s="3">
        <v>0.98109999999999997</v>
      </c>
      <c r="C84" s="3">
        <v>416.36</v>
      </c>
      <c r="D84" s="4">
        <f t="shared" si="3"/>
        <v>6.0810810810810797E-3</v>
      </c>
      <c r="E84" s="4">
        <f t="shared" si="2"/>
        <v>6.9393333333333338</v>
      </c>
    </row>
    <row r="85" spans="1:5" x14ac:dyDescent="0.55000000000000004">
      <c r="A85" s="3">
        <v>11.9</v>
      </c>
      <c r="B85" s="3">
        <v>0.98939999999999995</v>
      </c>
      <c r="C85" s="3">
        <v>421.18999000000002</v>
      </c>
      <c r="D85" s="4">
        <f t="shared" si="3"/>
        <v>6.1558558558558532E-3</v>
      </c>
      <c r="E85" s="4">
        <f t="shared" si="2"/>
        <v>7.0198331666666673</v>
      </c>
    </row>
    <row r="86" spans="1:5" x14ac:dyDescent="0.55000000000000004">
      <c r="A86" s="3">
        <v>12</v>
      </c>
      <c r="B86" s="3">
        <v>0.99770000000000003</v>
      </c>
      <c r="C86" s="3">
        <v>424.41998999999998</v>
      </c>
      <c r="D86" s="4">
        <f t="shared" si="3"/>
        <v>6.2306306306306285E-3</v>
      </c>
      <c r="E86" s="4">
        <f t="shared" si="2"/>
        <v>7.0736664999999999</v>
      </c>
    </row>
    <row r="87" spans="1:5" x14ac:dyDescent="0.55000000000000004">
      <c r="A87" s="3">
        <v>12.1</v>
      </c>
      <c r="B87" s="3">
        <v>1.006</v>
      </c>
      <c r="C87" s="3">
        <v>428.44</v>
      </c>
      <c r="D87" s="4">
        <f t="shared" si="3"/>
        <v>6.3054054054054037E-3</v>
      </c>
      <c r="E87" s="4">
        <f t="shared" si="2"/>
        <v>7.1406666666666663</v>
      </c>
    </row>
    <row r="88" spans="1:5" x14ac:dyDescent="0.55000000000000004">
      <c r="A88" s="3">
        <v>12.2</v>
      </c>
      <c r="B88" s="3">
        <v>1.0144</v>
      </c>
      <c r="C88" s="3">
        <v>432.46999</v>
      </c>
      <c r="D88" s="4">
        <f t="shared" si="3"/>
        <v>6.3810810810810796E-3</v>
      </c>
      <c r="E88" s="4">
        <f t="shared" si="2"/>
        <v>7.2078331666666662</v>
      </c>
    </row>
    <row r="89" spans="1:5" x14ac:dyDescent="0.55000000000000004">
      <c r="A89" s="3">
        <v>12.3</v>
      </c>
      <c r="B89" s="3">
        <v>1.0227999999999999</v>
      </c>
      <c r="C89" s="3">
        <v>437.30000999999999</v>
      </c>
      <c r="D89" s="4">
        <f t="shared" si="3"/>
        <v>6.4567567567567537E-3</v>
      </c>
      <c r="E89" s="4">
        <f t="shared" si="2"/>
        <v>7.2883334999999994</v>
      </c>
    </row>
    <row r="90" spans="1:5" x14ac:dyDescent="0.55000000000000004">
      <c r="A90" s="3">
        <v>12.4</v>
      </c>
      <c r="B90" s="3">
        <v>1.0310999999999999</v>
      </c>
      <c r="C90" s="3">
        <v>441.33</v>
      </c>
      <c r="D90" s="4">
        <f t="shared" si="3"/>
        <v>6.531531531531529E-3</v>
      </c>
      <c r="E90" s="4">
        <f t="shared" si="2"/>
        <v>7.3555000000000001</v>
      </c>
    </row>
    <row r="91" spans="1:5" x14ac:dyDescent="0.55000000000000004">
      <c r="A91" s="3">
        <v>12.5</v>
      </c>
      <c r="B91" s="3">
        <v>1.0394000000000001</v>
      </c>
      <c r="C91" s="3">
        <v>445.34998999999999</v>
      </c>
      <c r="D91" s="4">
        <f t="shared" si="3"/>
        <v>6.606306306306306E-3</v>
      </c>
      <c r="E91" s="4">
        <f t="shared" si="2"/>
        <v>7.4224998333333332</v>
      </c>
    </row>
    <row r="92" spans="1:5" x14ac:dyDescent="0.55000000000000004">
      <c r="A92" s="3">
        <v>12.6</v>
      </c>
      <c r="B92" s="3">
        <v>1.0477000000000001</v>
      </c>
      <c r="C92" s="3">
        <v>449.38001000000003</v>
      </c>
      <c r="D92" s="4">
        <f t="shared" si="3"/>
        <v>6.6810810810810795E-3</v>
      </c>
      <c r="E92" s="4">
        <f t="shared" si="2"/>
        <v>7.4896668333333336</v>
      </c>
    </row>
    <row r="93" spans="1:5" x14ac:dyDescent="0.55000000000000004">
      <c r="A93" s="3">
        <v>12.7</v>
      </c>
      <c r="B93" s="3">
        <v>1.0561</v>
      </c>
      <c r="C93" s="3">
        <v>452.6</v>
      </c>
      <c r="D93" s="4">
        <f t="shared" si="3"/>
        <v>6.7567567567567554E-3</v>
      </c>
      <c r="E93" s="4">
        <f t="shared" si="2"/>
        <v>7.5433333333333339</v>
      </c>
    </row>
    <row r="94" spans="1:5" x14ac:dyDescent="0.55000000000000004">
      <c r="A94" s="3">
        <v>12.8</v>
      </c>
      <c r="B94" s="3">
        <v>1.0644</v>
      </c>
      <c r="C94" s="3">
        <v>456.62999000000002</v>
      </c>
      <c r="D94" s="4">
        <f t="shared" si="3"/>
        <v>6.8315315315315307E-3</v>
      </c>
      <c r="E94" s="4">
        <f t="shared" ref="E94:E147" si="4">C94/$L$4</f>
        <v>7.6104998333333338</v>
      </c>
    </row>
    <row r="95" spans="1:5" x14ac:dyDescent="0.55000000000000004">
      <c r="A95" s="3">
        <v>12.9</v>
      </c>
      <c r="B95" s="3">
        <v>1.0727</v>
      </c>
      <c r="C95" s="3">
        <v>460.66001</v>
      </c>
      <c r="D95" s="4">
        <f t="shared" si="3"/>
        <v>6.9063063063063042E-3</v>
      </c>
      <c r="E95" s="4">
        <f t="shared" si="4"/>
        <v>7.6776668333333333</v>
      </c>
    </row>
    <row r="96" spans="1:5" x14ac:dyDescent="0.55000000000000004">
      <c r="A96" s="3">
        <v>13</v>
      </c>
      <c r="B96" s="3">
        <v>1.081</v>
      </c>
      <c r="C96" s="3">
        <v>463.88</v>
      </c>
      <c r="D96" s="4">
        <f t="shared" si="3"/>
        <v>6.9810810810810794E-3</v>
      </c>
      <c r="E96" s="4">
        <f t="shared" si="4"/>
        <v>7.7313333333333336</v>
      </c>
    </row>
    <row r="97" spans="1:5" x14ac:dyDescent="0.55000000000000004">
      <c r="A97" s="3">
        <v>13.1</v>
      </c>
      <c r="B97" s="3">
        <v>1.0893999999999999</v>
      </c>
      <c r="C97" s="3">
        <v>467.89999</v>
      </c>
      <c r="D97" s="4">
        <f t="shared" si="3"/>
        <v>7.0567567567567536E-3</v>
      </c>
      <c r="E97" s="4">
        <f t="shared" si="4"/>
        <v>7.7983331666666666</v>
      </c>
    </row>
    <row r="98" spans="1:5" x14ac:dyDescent="0.55000000000000004">
      <c r="A98" s="3">
        <v>13.2</v>
      </c>
      <c r="B98" s="3">
        <v>1.0978000000000001</v>
      </c>
      <c r="C98" s="3">
        <v>471.92998</v>
      </c>
      <c r="D98" s="4">
        <f t="shared" si="3"/>
        <v>7.1324324324324312E-3</v>
      </c>
      <c r="E98" s="4">
        <f t="shared" si="4"/>
        <v>7.8654996666666666</v>
      </c>
    </row>
    <row r="99" spans="1:5" x14ac:dyDescent="0.55000000000000004">
      <c r="A99" s="3">
        <v>13.3</v>
      </c>
      <c r="B99" s="3">
        <v>1.1061000000000001</v>
      </c>
      <c r="C99" s="3">
        <v>475.14997</v>
      </c>
      <c r="D99" s="4">
        <f t="shared" si="3"/>
        <v>7.2072072072072065E-3</v>
      </c>
      <c r="E99" s="4">
        <f t="shared" si="4"/>
        <v>7.9191661666666668</v>
      </c>
    </row>
    <row r="100" spans="1:5" x14ac:dyDescent="0.55000000000000004">
      <c r="A100" s="3">
        <v>13.4</v>
      </c>
      <c r="B100" s="3">
        <v>1.1144000000000001</v>
      </c>
      <c r="C100" s="3">
        <v>479.17998999999998</v>
      </c>
      <c r="D100" s="4">
        <f t="shared" si="3"/>
        <v>7.28198198198198E-3</v>
      </c>
      <c r="E100" s="4">
        <f t="shared" si="4"/>
        <v>7.9863331666666664</v>
      </c>
    </row>
    <row r="101" spans="1:5" x14ac:dyDescent="0.55000000000000004">
      <c r="A101" s="3">
        <v>13.5</v>
      </c>
      <c r="B101" s="3">
        <v>1.1227</v>
      </c>
      <c r="C101" s="3">
        <v>482.39999</v>
      </c>
      <c r="D101" s="4">
        <f t="shared" si="3"/>
        <v>7.3567567567567552E-3</v>
      </c>
      <c r="E101" s="4">
        <f t="shared" si="4"/>
        <v>8.0399998333333329</v>
      </c>
    </row>
    <row r="102" spans="1:5" x14ac:dyDescent="0.55000000000000004">
      <c r="A102" s="3">
        <v>13.6</v>
      </c>
      <c r="B102" s="3">
        <v>1.1311</v>
      </c>
      <c r="C102" s="3">
        <v>486.43</v>
      </c>
      <c r="D102" s="4">
        <f t="shared" si="3"/>
        <v>7.4324324324324311E-3</v>
      </c>
      <c r="E102" s="4">
        <f t="shared" si="4"/>
        <v>8.1071666666666662</v>
      </c>
    </row>
    <row r="103" spans="1:5" x14ac:dyDescent="0.55000000000000004">
      <c r="A103" s="3">
        <v>13.7</v>
      </c>
      <c r="B103" s="3">
        <v>1.1394</v>
      </c>
      <c r="C103" s="3">
        <v>489.65</v>
      </c>
      <c r="D103" s="4">
        <f t="shared" si="3"/>
        <v>7.5072072072072046E-3</v>
      </c>
      <c r="E103" s="4">
        <f t="shared" si="4"/>
        <v>8.1608333333333327</v>
      </c>
    </row>
    <row r="104" spans="1:5" x14ac:dyDescent="0.55000000000000004">
      <c r="A104" s="3">
        <v>13.8</v>
      </c>
      <c r="B104" s="3">
        <v>1.1476999999999999</v>
      </c>
      <c r="C104" s="3">
        <v>492.86998999999997</v>
      </c>
      <c r="D104" s="4">
        <f t="shared" si="3"/>
        <v>7.5819819819819799E-3</v>
      </c>
      <c r="E104" s="4">
        <f t="shared" si="4"/>
        <v>8.214499833333333</v>
      </c>
    </row>
    <row r="105" spans="1:5" x14ac:dyDescent="0.55000000000000004">
      <c r="A105" s="3">
        <v>13.9</v>
      </c>
      <c r="B105" s="3">
        <v>1.1559999999999999</v>
      </c>
      <c r="C105" s="3">
        <v>496.90001000000001</v>
      </c>
      <c r="D105" s="4">
        <f t="shared" si="3"/>
        <v>7.6567567567567534E-3</v>
      </c>
      <c r="E105" s="4">
        <f t="shared" si="4"/>
        <v>8.2816668333333343</v>
      </c>
    </row>
    <row r="106" spans="1:5" x14ac:dyDescent="0.55000000000000004">
      <c r="A106" s="3">
        <v>14</v>
      </c>
      <c r="B106" s="3">
        <v>1.1644000000000001</v>
      </c>
      <c r="C106" s="3">
        <v>500.12</v>
      </c>
      <c r="D106" s="4">
        <f t="shared" si="3"/>
        <v>7.732432432432431E-3</v>
      </c>
      <c r="E106" s="4">
        <f t="shared" si="4"/>
        <v>8.3353333333333328</v>
      </c>
    </row>
    <row r="107" spans="1:5" x14ac:dyDescent="0.55000000000000004">
      <c r="A107" s="3">
        <v>14.1</v>
      </c>
      <c r="B107" s="3">
        <v>1.1728000000000001</v>
      </c>
      <c r="C107" s="3">
        <v>503.33999</v>
      </c>
      <c r="D107" s="4">
        <f t="shared" si="3"/>
        <v>7.8081081081081069E-3</v>
      </c>
      <c r="E107" s="4">
        <f t="shared" si="4"/>
        <v>8.3889998333333331</v>
      </c>
    </row>
    <row r="108" spans="1:5" x14ac:dyDescent="0.55000000000000004">
      <c r="A108" s="3">
        <v>14.2</v>
      </c>
      <c r="B108" s="3">
        <v>1.1811</v>
      </c>
      <c r="C108" s="3">
        <v>506.55998</v>
      </c>
      <c r="D108" s="4">
        <f t="shared" si="3"/>
        <v>7.8828828828828822E-3</v>
      </c>
      <c r="E108" s="4">
        <f t="shared" si="4"/>
        <v>8.4426663333333334</v>
      </c>
    </row>
    <row r="109" spans="1:5" x14ac:dyDescent="0.55000000000000004">
      <c r="A109" s="3">
        <v>14.3</v>
      </c>
      <c r="B109" s="3">
        <v>1.1894</v>
      </c>
      <c r="C109" s="3">
        <v>509.77996999999999</v>
      </c>
      <c r="D109" s="4">
        <f t="shared" si="3"/>
        <v>7.9576576576576557E-3</v>
      </c>
      <c r="E109" s="4">
        <f t="shared" si="4"/>
        <v>8.4963328333333337</v>
      </c>
    </row>
    <row r="110" spans="1:5" x14ac:dyDescent="0.55000000000000004">
      <c r="A110" s="3">
        <v>14.4</v>
      </c>
      <c r="B110" s="3">
        <v>1.1977</v>
      </c>
      <c r="C110" s="3">
        <v>512.20000000000005</v>
      </c>
      <c r="D110" s="4">
        <f t="shared" si="3"/>
        <v>8.0324324324324309E-3</v>
      </c>
      <c r="E110" s="4">
        <f t="shared" si="4"/>
        <v>8.5366666666666671</v>
      </c>
    </row>
    <row r="111" spans="1:5" x14ac:dyDescent="0.55000000000000004">
      <c r="A111" s="3">
        <v>14.5</v>
      </c>
      <c r="B111" s="3">
        <v>1.2060999999999999</v>
      </c>
      <c r="C111" s="3">
        <v>515.41998999999998</v>
      </c>
      <c r="D111" s="4">
        <f t="shared" si="3"/>
        <v>8.1081081081081051E-3</v>
      </c>
      <c r="E111" s="4">
        <f t="shared" si="4"/>
        <v>8.5903331666666656</v>
      </c>
    </row>
    <row r="112" spans="1:5" x14ac:dyDescent="0.55000000000000004">
      <c r="A112" s="3">
        <v>14.6</v>
      </c>
      <c r="B112" s="3">
        <v>1.2143999999999999</v>
      </c>
      <c r="C112" s="3">
        <v>518.63998000000004</v>
      </c>
      <c r="D112" s="4">
        <f t="shared" si="3"/>
        <v>8.1828828828828803E-3</v>
      </c>
      <c r="E112" s="4">
        <f t="shared" si="4"/>
        <v>8.6439996666666676</v>
      </c>
    </row>
    <row r="113" spans="1:5" x14ac:dyDescent="0.55000000000000004">
      <c r="A113" s="3">
        <v>14.7</v>
      </c>
      <c r="B113" s="3">
        <v>1.2226999999999999</v>
      </c>
      <c r="C113" s="3">
        <v>521.85996999999998</v>
      </c>
      <c r="D113" s="4">
        <f t="shared" si="3"/>
        <v>8.2576576576576556E-3</v>
      </c>
      <c r="E113" s="4">
        <f t="shared" si="4"/>
        <v>8.6976661666666661</v>
      </c>
    </row>
    <row r="114" spans="1:5" x14ac:dyDescent="0.55000000000000004">
      <c r="A114" s="3">
        <v>14.8</v>
      </c>
      <c r="B114" s="3">
        <v>1.2310000000000001</v>
      </c>
      <c r="C114" s="3">
        <v>524.28</v>
      </c>
      <c r="D114" s="4">
        <f t="shared" si="3"/>
        <v>8.3324324324324309E-3</v>
      </c>
      <c r="E114" s="4">
        <f t="shared" si="4"/>
        <v>8.7379999999999995</v>
      </c>
    </row>
    <row r="115" spans="1:5" x14ac:dyDescent="0.55000000000000004">
      <c r="A115" s="3">
        <v>14.9</v>
      </c>
      <c r="B115" s="3">
        <v>1.2394000000000001</v>
      </c>
      <c r="C115" s="3">
        <v>527.49999000000003</v>
      </c>
      <c r="D115" s="4">
        <f t="shared" si="3"/>
        <v>8.4081081081081067E-3</v>
      </c>
      <c r="E115" s="4">
        <f t="shared" si="4"/>
        <v>8.7916664999999998</v>
      </c>
    </row>
    <row r="116" spans="1:5" x14ac:dyDescent="0.55000000000000004">
      <c r="A116" s="3">
        <v>15</v>
      </c>
      <c r="B116" s="3">
        <v>1.2478</v>
      </c>
      <c r="C116" s="3">
        <v>529.92001000000005</v>
      </c>
      <c r="D116" s="4">
        <f t="shared" si="3"/>
        <v>8.4837837837837826E-3</v>
      </c>
      <c r="E116" s="4">
        <f t="shared" si="4"/>
        <v>8.832000166666667</v>
      </c>
    </row>
    <row r="117" spans="1:5" x14ac:dyDescent="0.55000000000000004">
      <c r="A117" s="3">
        <v>15.1</v>
      </c>
      <c r="B117" s="3">
        <v>1.2561</v>
      </c>
      <c r="C117" s="3">
        <v>532.32997999999998</v>
      </c>
      <c r="D117" s="4">
        <f t="shared" si="3"/>
        <v>8.5585585585585561E-3</v>
      </c>
      <c r="E117" s="4">
        <f t="shared" si="4"/>
        <v>8.8721663333333325</v>
      </c>
    </row>
    <row r="118" spans="1:5" x14ac:dyDescent="0.55000000000000004">
      <c r="A118" s="3">
        <v>15.2</v>
      </c>
      <c r="B118" s="3">
        <v>1.2644</v>
      </c>
      <c r="C118" s="3">
        <v>534.75</v>
      </c>
      <c r="D118" s="4">
        <f t="shared" si="3"/>
        <v>8.6333333333333314E-3</v>
      </c>
      <c r="E118" s="4">
        <f t="shared" si="4"/>
        <v>8.9124999999999996</v>
      </c>
    </row>
    <row r="119" spans="1:5" x14ac:dyDescent="0.55000000000000004">
      <c r="A119" s="3">
        <v>15.3</v>
      </c>
      <c r="B119" s="3">
        <v>1.2726999999999999</v>
      </c>
      <c r="C119" s="3">
        <v>537.16002000000003</v>
      </c>
      <c r="D119" s="4">
        <f t="shared" si="3"/>
        <v>8.7081081081081067E-3</v>
      </c>
      <c r="E119" s="4">
        <f t="shared" si="4"/>
        <v>8.9526669999999999</v>
      </c>
    </row>
    <row r="120" spans="1:5" x14ac:dyDescent="0.55000000000000004">
      <c r="A120" s="3">
        <v>15.4</v>
      </c>
      <c r="B120" s="3">
        <v>1.2810999999999999</v>
      </c>
      <c r="C120" s="3">
        <v>538.78002000000004</v>
      </c>
      <c r="D120" s="4">
        <f t="shared" si="3"/>
        <v>8.7837837837837808E-3</v>
      </c>
      <c r="E120" s="4">
        <f t="shared" si="4"/>
        <v>8.979667000000001</v>
      </c>
    </row>
    <row r="121" spans="1:5" x14ac:dyDescent="0.55000000000000004">
      <c r="A121" s="3">
        <v>15.5</v>
      </c>
      <c r="B121" s="3">
        <v>1.2894000000000001</v>
      </c>
      <c r="C121" s="3">
        <v>541.18997999999999</v>
      </c>
      <c r="D121" s="4">
        <f t="shared" si="3"/>
        <v>8.8585585585585578E-3</v>
      </c>
      <c r="E121" s="4">
        <f t="shared" si="4"/>
        <v>9.0198330000000002</v>
      </c>
    </row>
    <row r="122" spans="1:5" x14ac:dyDescent="0.55000000000000004">
      <c r="A122" s="3">
        <v>15.6</v>
      </c>
      <c r="B122" s="3">
        <v>1.2977000000000001</v>
      </c>
      <c r="C122" s="3">
        <v>542.79998000000001</v>
      </c>
      <c r="D122" s="4">
        <f t="shared" si="3"/>
        <v>8.9333333333333331E-3</v>
      </c>
      <c r="E122" s="4">
        <f t="shared" si="4"/>
        <v>9.0466663333333326</v>
      </c>
    </row>
    <row r="123" spans="1:5" x14ac:dyDescent="0.55000000000000004">
      <c r="A123" s="3">
        <v>15.7</v>
      </c>
      <c r="B123" s="3">
        <v>1.306</v>
      </c>
      <c r="C123" s="3">
        <v>545.22</v>
      </c>
      <c r="D123" s="4">
        <f t="shared" si="3"/>
        <v>9.0081081081081066E-3</v>
      </c>
      <c r="E123" s="4">
        <f t="shared" si="4"/>
        <v>9.0869999999999997</v>
      </c>
    </row>
    <row r="124" spans="1:5" x14ac:dyDescent="0.55000000000000004">
      <c r="A124" s="3">
        <v>15.8</v>
      </c>
      <c r="B124" s="3">
        <v>1.3144</v>
      </c>
      <c r="C124" s="3">
        <v>546.02003000000002</v>
      </c>
      <c r="D124" s="4">
        <f t="shared" si="3"/>
        <v>9.0837837837837825E-3</v>
      </c>
      <c r="E124" s="4">
        <f t="shared" si="4"/>
        <v>9.1003338333333339</v>
      </c>
    </row>
    <row r="125" spans="1:5" x14ac:dyDescent="0.55000000000000004">
      <c r="A125" s="3">
        <v>15.9</v>
      </c>
      <c r="B125" s="3">
        <v>1.3228</v>
      </c>
      <c r="C125" s="3">
        <v>547.63001999999994</v>
      </c>
      <c r="D125" s="4">
        <f t="shared" si="3"/>
        <v>9.1594594594594583E-3</v>
      </c>
      <c r="E125" s="4">
        <f t="shared" si="4"/>
        <v>9.1271669999999983</v>
      </c>
    </row>
    <row r="126" spans="1:5" x14ac:dyDescent="0.55000000000000004">
      <c r="A126" s="3">
        <v>16</v>
      </c>
      <c r="B126" s="3">
        <v>1.3310999999999999</v>
      </c>
      <c r="C126" s="3">
        <v>549.25001999999995</v>
      </c>
      <c r="D126" s="4">
        <f t="shared" si="3"/>
        <v>9.2342342342342319E-3</v>
      </c>
      <c r="E126" s="4">
        <f t="shared" si="4"/>
        <v>9.1541669999999993</v>
      </c>
    </row>
    <row r="127" spans="1:5" x14ac:dyDescent="0.55000000000000004">
      <c r="A127" s="3">
        <v>16.100000000000001</v>
      </c>
      <c r="B127" s="3">
        <v>1.3393999999999999</v>
      </c>
      <c r="C127" s="3">
        <v>550.04998999999998</v>
      </c>
      <c r="D127" s="4">
        <f t="shared" si="3"/>
        <v>9.3090090090090071E-3</v>
      </c>
      <c r="E127" s="4">
        <f t="shared" si="4"/>
        <v>9.1674998333333324</v>
      </c>
    </row>
    <row r="128" spans="1:5" x14ac:dyDescent="0.55000000000000004">
      <c r="A128" s="3">
        <v>16.2</v>
      </c>
      <c r="B128" s="3">
        <v>1.3476999999999999</v>
      </c>
      <c r="C128" s="3">
        <v>550.86001999999996</v>
      </c>
      <c r="D128" s="4">
        <f t="shared" si="3"/>
        <v>9.3837837837837806E-3</v>
      </c>
      <c r="E128" s="4">
        <f t="shared" si="4"/>
        <v>9.1810003333333334</v>
      </c>
    </row>
    <row r="129" spans="1:5" x14ac:dyDescent="0.55000000000000004">
      <c r="A129" s="3">
        <v>16.3</v>
      </c>
      <c r="B129" s="3">
        <v>1.3561000000000001</v>
      </c>
      <c r="C129" s="3">
        <v>551.65998999999999</v>
      </c>
      <c r="D129" s="4">
        <f t="shared" si="3"/>
        <v>9.4594594594594582E-3</v>
      </c>
      <c r="E129" s="4">
        <f t="shared" si="4"/>
        <v>9.1943331666666666</v>
      </c>
    </row>
    <row r="130" spans="1:5" x14ac:dyDescent="0.55000000000000004">
      <c r="A130" s="3">
        <v>16.399999999999999</v>
      </c>
      <c r="B130" s="3">
        <v>1.3644000000000001</v>
      </c>
      <c r="C130" s="3">
        <v>551.65998999999999</v>
      </c>
      <c r="D130" s="4">
        <f t="shared" si="3"/>
        <v>9.5342342342342335E-3</v>
      </c>
      <c r="E130" s="4">
        <f t="shared" si="4"/>
        <v>9.1943331666666666</v>
      </c>
    </row>
    <row r="131" spans="1:5" x14ac:dyDescent="0.55000000000000004">
      <c r="A131" s="3">
        <v>16.5</v>
      </c>
      <c r="B131" s="3">
        <v>1.3727</v>
      </c>
      <c r="C131" s="3">
        <v>551.65998999999999</v>
      </c>
      <c r="D131" s="4">
        <f t="shared" si="3"/>
        <v>9.609009009009007E-3</v>
      </c>
      <c r="E131" s="4">
        <f t="shared" si="4"/>
        <v>9.1943331666666666</v>
      </c>
    </row>
    <row r="132" spans="1:5" x14ac:dyDescent="0.55000000000000004">
      <c r="A132" s="3">
        <v>16.600000000000001</v>
      </c>
      <c r="B132" s="3">
        <v>1.381</v>
      </c>
      <c r="C132" s="3">
        <v>551.65998999999999</v>
      </c>
      <c r="D132" s="4">
        <f t="shared" ref="D132:D147" si="5">((B132/$L$3))-0.00275765765765766</f>
        <v>9.6837837837837823E-3</v>
      </c>
      <c r="E132" s="4">
        <f t="shared" si="4"/>
        <v>9.1943331666666666</v>
      </c>
    </row>
    <row r="133" spans="1:5" x14ac:dyDescent="0.55000000000000004">
      <c r="A133" s="3">
        <v>16.7</v>
      </c>
      <c r="B133" s="3">
        <v>1.3894</v>
      </c>
      <c r="C133" s="3">
        <v>550.86001999999996</v>
      </c>
      <c r="D133" s="4">
        <f t="shared" si="5"/>
        <v>9.7594594594594582E-3</v>
      </c>
      <c r="E133" s="4">
        <f t="shared" si="4"/>
        <v>9.1810003333333334</v>
      </c>
    </row>
    <row r="134" spans="1:5" x14ac:dyDescent="0.55000000000000004">
      <c r="A134" s="3">
        <v>16.8</v>
      </c>
      <c r="B134" s="3">
        <v>1.3977999999999999</v>
      </c>
      <c r="C134" s="3">
        <v>550.04998999999998</v>
      </c>
      <c r="D134" s="4">
        <f t="shared" si="5"/>
        <v>9.8351351351351323E-3</v>
      </c>
      <c r="E134" s="4">
        <f t="shared" si="4"/>
        <v>9.1674998333333324</v>
      </c>
    </row>
    <row r="135" spans="1:5" x14ac:dyDescent="0.55000000000000004">
      <c r="A135" s="3">
        <v>16.899999999999999</v>
      </c>
      <c r="B135" s="3">
        <v>1.4060999999999999</v>
      </c>
      <c r="C135" s="3">
        <v>549.25001999999995</v>
      </c>
      <c r="D135" s="4">
        <f t="shared" si="5"/>
        <v>9.9099099099099076E-3</v>
      </c>
      <c r="E135" s="4">
        <f t="shared" si="4"/>
        <v>9.1541669999999993</v>
      </c>
    </row>
    <row r="136" spans="1:5" x14ac:dyDescent="0.55000000000000004">
      <c r="A136" s="3">
        <v>17</v>
      </c>
      <c r="B136" s="3">
        <v>1.4144000000000001</v>
      </c>
      <c r="C136" s="3">
        <v>547.63001999999994</v>
      </c>
      <c r="D136" s="4">
        <f t="shared" si="5"/>
        <v>9.9846846846846846E-3</v>
      </c>
      <c r="E136" s="4">
        <f t="shared" si="4"/>
        <v>9.1271669999999983</v>
      </c>
    </row>
    <row r="137" spans="1:5" x14ac:dyDescent="0.55000000000000004">
      <c r="A137" s="3">
        <v>17.100000000000001</v>
      </c>
      <c r="B137" s="3">
        <v>1.4227000000000001</v>
      </c>
      <c r="C137" s="3">
        <v>546.02003000000002</v>
      </c>
      <c r="D137" s="4">
        <f t="shared" si="5"/>
        <v>1.0059459459459458E-2</v>
      </c>
      <c r="E137" s="4">
        <f t="shared" si="4"/>
        <v>9.1003338333333339</v>
      </c>
    </row>
    <row r="138" spans="1:5" x14ac:dyDescent="0.55000000000000004">
      <c r="A138" s="3">
        <v>17.2</v>
      </c>
      <c r="B138" s="3">
        <v>1.4311</v>
      </c>
      <c r="C138" s="3">
        <v>543.61000999999999</v>
      </c>
      <c r="D138" s="4">
        <f t="shared" si="5"/>
        <v>1.0135135135135134E-2</v>
      </c>
      <c r="E138" s="4">
        <f t="shared" si="4"/>
        <v>9.0601668333333336</v>
      </c>
    </row>
    <row r="139" spans="1:5" x14ac:dyDescent="0.55000000000000004">
      <c r="A139" s="3">
        <v>17.3</v>
      </c>
      <c r="B139" s="3">
        <v>1.4394</v>
      </c>
      <c r="C139" s="3">
        <v>540.39000999999996</v>
      </c>
      <c r="D139" s="4">
        <f t="shared" si="5"/>
        <v>1.0209909909909907E-2</v>
      </c>
      <c r="E139" s="4">
        <f t="shared" si="4"/>
        <v>9.0065001666666653</v>
      </c>
    </row>
    <row r="140" spans="1:5" x14ac:dyDescent="0.55000000000000004">
      <c r="A140" s="3">
        <v>17.399999999999999</v>
      </c>
      <c r="B140" s="3">
        <v>1.4477</v>
      </c>
      <c r="C140" s="3">
        <v>537.96999000000005</v>
      </c>
      <c r="D140" s="4">
        <f t="shared" si="5"/>
        <v>1.0284684684684683E-2</v>
      </c>
      <c r="E140" s="4">
        <f t="shared" si="4"/>
        <v>8.9661665000000017</v>
      </c>
    </row>
    <row r="141" spans="1:5" x14ac:dyDescent="0.55000000000000004">
      <c r="A141" s="3">
        <v>17.5</v>
      </c>
      <c r="B141" s="3">
        <v>1.456</v>
      </c>
      <c r="C141" s="3">
        <v>534.75</v>
      </c>
      <c r="D141" s="4">
        <f t="shared" si="5"/>
        <v>1.0359459459459458E-2</v>
      </c>
      <c r="E141" s="4">
        <f t="shared" si="4"/>
        <v>8.9124999999999996</v>
      </c>
    </row>
    <row r="142" spans="1:5" x14ac:dyDescent="0.55000000000000004">
      <c r="A142" s="3">
        <v>17.600000000000001</v>
      </c>
      <c r="B142" s="3">
        <v>1.4643999999999999</v>
      </c>
      <c r="C142" s="3">
        <v>530.71997999999996</v>
      </c>
      <c r="D142" s="4">
        <f t="shared" si="5"/>
        <v>1.0435135135135132E-2</v>
      </c>
      <c r="E142" s="4">
        <f t="shared" si="4"/>
        <v>8.8453330000000001</v>
      </c>
    </row>
    <row r="143" spans="1:5" x14ac:dyDescent="0.55000000000000004">
      <c r="A143" s="3">
        <v>17.7</v>
      </c>
      <c r="B143" s="3">
        <v>1.4728000000000001</v>
      </c>
      <c r="C143" s="3">
        <v>525.88999000000001</v>
      </c>
      <c r="D143" s="4">
        <f t="shared" si="5"/>
        <v>1.051081081081081E-2</v>
      </c>
      <c r="E143" s="4">
        <f t="shared" si="4"/>
        <v>8.7648331666666675</v>
      </c>
    </row>
    <row r="144" spans="1:5" x14ac:dyDescent="0.55000000000000004">
      <c r="A144" s="3">
        <v>17.8</v>
      </c>
      <c r="B144" s="3">
        <v>1.4811000000000001</v>
      </c>
      <c r="C144" s="3">
        <v>520.24998000000005</v>
      </c>
      <c r="D144" s="4">
        <f t="shared" si="5"/>
        <v>1.0585585585585585E-2</v>
      </c>
      <c r="E144" s="4">
        <f t="shared" si="4"/>
        <v>8.670833</v>
      </c>
    </row>
    <row r="145" spans="1:5" x14ac:dyDescent="0.55000000000000004">
      <c r="A145" s="3">
        <v>17.899999999999999</v>
      </c>
      <c r="B145" s="3">
        <v>1.4894000000000001</v>
      </c>
      <c r="C145" s="3">
        <v>513.80998999999997</v>
      </c>
      <c r="D145" s="4">
        <f t="shared" si="5"/>
        <v>1.0660360360360359E-2</v>
      </c>
      <c r="E145" s="4">
        <f t="shared" si="4"/>
        <v>8.5634998333333332</v>
      </c>
    </row>
    <row r="146" spans="1:5" x14ac:dyDescent="0.55000000000000004">
      <c r="D146" s="4"/>
      <c r="E146" s="4"/>
    </row>
    <row r="147" spans="1:5" x14ac:dyDescent="0.55000000000000004">
      <c r="D147" s="4"/>
      <c r="E147" s="4"/>
    </row>
    <row r="148" spans="1:5" x14ac:dyDescent="0.55000000000000004">
      <c r="D148" s="4"/>
      <c r="E148" s="4"/>
    </row>
    <row r="149" spans="1:5" x14ac:dyDescent="0.55000000000000004">
      <c r="D149" s="4"/>
      <c r="E149" s="4"/>
    </row>
    <row r="150" spans="1:5" x14ac:dyDescent="0.55000000000000004">
      <c r="D150" s="4"/>
      <c r="E150" s="4"/>
    </row>
    <row r="151" spans="1:5" x14ac:dyDescent="0.55000000000000004">
      <c r="D151" s="4"/>
      <c r="E151" s="4"/>
    </row>
    <row r="152" spans="1:5" x14ac:dyDescent="0.55000000000000004">
      <c r="D152" s="4"/>
      <c r="E152" s="4"/>
    </row>
    <row r="153" spans="1:5" x14ac:dyDescent="0.55000000000000004">
      <c r="D153" s="4"/>
      <c r="E153" s="4"/>
    </row>
    <row r="154" spans="1:5" x14ac:dyDescent="0.55000000000000004">
      <c r="D154" s="4"/>
      <c r="E154" s="4"/>
    </row>
    <row r="155" spans="1:5" x14ac:dyDescent="0.55000000000000004">
      <c r="D155" s="4"/>
      <c r="E155" s="4"/>
    </row>
    <row r="156" spans="1:5" x14ac:dyDescent="0.55000000000000004">
      <c r="D156" s="4"/>
      <c r="E156" s="4"/>
    </row>
    <row r="157" spans="1:5" x14ac:dyDescent="0.55000000000000004">
      <c r="D157" s="4"/>
      <c r="E157" s="4"/>
    </row>
    <row r="158" spans="1:5" x14ac:dyDescent="0.55000000000000004">
      <c r="D158" s="4"/>
      <c r="E158" s="4"/>
    </row>
    <row r="159" spans="1:5" x14ac:dyDescent="0.55000000000000004">
      <c r="D159" s="4"/>
      <c r="E159" s="4"/>
    </row>
    <row r="160" spans="1:5" x14ac:dyDescent="0.55000000000000004">
      <c r="D160" s="4"/>
      <c r="E160" s="4"/>
    </row>
    <row r="161" spans="4:5" x14ac:dyDescent="0.55000000000000004">
      <c r="D161" s="4"/>
      <c r="E161" s="4"/>
    </row>
    <row r="162" spans="4:5" x14ac:dyDescent="0.55000000000000004">
      <c r="D162" s="4"/>
      <c r="E162" s="4"/>
    </row>
    <row r="163" spans="4:5" x14ac:dyDescent="0.55000000000000004">
      <c r="D163" s="4"/>
      <c r="E163" s="4"/>
    </row>
    <row r="164" spans="4:5" x14ac:dyDescent="0.55000000000000004">
      <c r="D164" s="4"/>
      <c r="E164" s="4"/>
    </row>
    <row r="165" spans="4:5" x14ac:dyDescent="0.55000000000000004">
      <c r="D165" s="4"/>
      <c r="E165" s="4"/>
    </row>
    <row r="166" spans="4:5" x14ac:dyDescent="0.55000000000000004">
      <c r="D166" s="4"/>
      <c r="E166" s="4"/>
    </row>
    <row r="167" spans="4:5" x14ac:dyDescent="0.55000000000000004">
      <c r="D167" s="4"/>
      <c r="E167" s="4"/>
    </row>
    <row r="168" spans="4:5" x14ac:dyDescent="0.55000000000000004">
      <c r="D168" s="4"/>
      <c r="E168" s="4"/>
    </row>
    <row r="169" spans="4:5" x14ac:dyDescent="0.55000000000000004">
      <c r="D169" s="4"/>
      <c r="E169" s="4"/>
    </row>
    <row r="170" spans="4:5" x14ac:dyDescent="0.55000000000000004">
      <c r="D170" s="4"/>
      <c r="E170" s="4"/>
    </row>
    <row r="171" spans="4:5" x14ac:dyDescent="0.55000000000000004">
      <c r="D171" s="4"/>
      <c r="E171" s="4"/>
    </row>
    <row r="172" spans="4:5" x14ac:dyDescent="0.55000000000000004">
      <c r="D172" s="4"/>
      <c r="E172" s="4"/>
    </row>
    <row r="173" spans="4:5" x14ac:dyDescent="0.55000000000000004">
      <c r="D173" s="4"/>
      <c r="E173" s="4"/>
    </row>
    <row r="174" spans="4:5" x14ac:dyDescent="0.55000000000000004">
      <c r="D174" s="4"/>
      <c r="E174" s="4"/>
    </row>
    <row r="175" spans="4:5" x14ac:dyDescent="0.55000000000000004">
      <c r="D175" s="4"/>
      <c r="E175" s="4"/>
    </row>
    <row r="176" spans="4:5" x14ac:dyDescent="0.55000000000000004">
      <c r="D176" s="4"/>
      <c r="E176" s="4"/>
    </row>
    <row r="177" spans="4:5" x14ac:dyDescent="0.55000000000000004">
      <c r="D177" s="4"/>
      <c r="E177" s="4"/>
    </row>
    <row r="178" spans="4:5" x14ac:dyDescent="0.55000000000000004">
      <c r="D178" s="4"/>
      <c r="E178" s="4"/>
    </row>
    <row r="179" spans="4:5" x14ac:dyDescent="0.55000000000000004">
      <c r="D179" s="4"/>
      <c r="E179" s="4"/>
    </row>
    <row r="180" spans="4:5" x14ac:dyDescent="0.55000000000000004">
      <c r="D180" s="4"/>
      <c r="E180" s="4"/>
    </row>
    <row r="181" spans="4:5" x14ac:dyDescent="0.55000000000000004">
      <c r="D181" s="4"/>
      <c r="E181" s="4"/>
    </row>
    <row r="182" spans="4:5" x14ac:dyDescent="0.55000000000000004">
      <c r="D182" s="4"/>
      <c r="E182" s="4"/>
    </row>
    <row r="183" spans="4:5" x14ac:dyDescent="0.55000000000000004">
      <c r="D183" s="4"/>
      <c r="E183" s="4"/>
    </row>
    <row r="184" spans="4:5" x14ac:dyDescent="0.55000000000000004">
      <c r="D184" s="4"/>
      <c r="E184" s="4"/>
    </row>
    <row r="185" spans="4:5" x14ac:dyDescent="0.55000000000000004">
      <c r="D185" s="4"/>
      <c r="E185" s="4"/>
    </row>
    <row r="186" spans="4:5" x14ac:dyDescent="0.55000000000000004">
      <c r="D186" s="4"/>
      <c r="E186" s="4"/>
    </row>
    <row r="187" spans="4:5" x14ac:dyDescent="0.55000000000000004">
      <c r="D187" s="4"/>
      <c r="E187" s="4"/>
    </row>
    <row r="188" spans="4:5" x14ac:dyDescent="0.55000000000000004">
      <c r="D188" s="4"/>
      <c r="E188" s="4"/>
    </row>
    <row r="189" spans="4:5" x14ac:dyDescent="0.55000000000000004">
      <c r="D189" s="4"/>
      <c r="E189" s="4"/>
    </row>
    <row r="190" spans="4:5" x14ac:dyDescent="0.55000000000000004">
      <c r="D190" s="4"/>
      <c r="E190" s="4"/>
    </row>
    <row r="191" spans="4:5" x14ac:dyDescent="0.55000000000000004">
      <c r="D191" s="4"/>
      <c r="E191" s="4"/>
    </row>
    <row r="192" spans="4:5" x14ac:dyDescent="0.55000000000000004">
      <c r="D192" s="4"/>
      <c r="E192" s="4"/>
    </row>
    <row r="193" spans="4:5" x14ac:dyDescent="0.55000000000000004">
      <c r="D193" s="4"/>
      <c r="E193" s="4"/>
    </row>
    <row r="194" spans="4:5" x14ac:dyDescent="0.55000000000000004">
      <c r="D194" s="4"/>
      <c r="E194" s="4"/>
    </row>
    <row r="195" spans="4:5" x14ac:dyDescent="0.55000000000000004">
      <c r="D195" s="4"/>
      <c r="E195" s="4"/>
    </row>
    <row r="196" spans="4:5" x14ac:dyDescent="0.55000000000000004">
      <c r="D196" s="4"/>
      <c r="E196" s="4"/>
    </row>
    <row r="197" spans="4:5" x14ac:dyDescent="0.55000000000000004">
      <c r="D197" s="4"/>
      <c r="E197" s="4"/>
    </row>
    <row r="198" spans="4:5" x14ac:dyDescent="0.55000000000000004">
      <c r="D198" s="4"/>
      <c r="E198" s="4"/>
    </row>
    <row r="199" spans="4:5" x14ac:dyDescent="0.55000000000000004">
      <c r="D199" s="4"/>
      <c r="E199" s="4"/>
    </row>
    <row r="200" spans="4:5" x14ac:dyDescent="0.55000000000000004">
      <c r="D200" s="4"/>
      <c r="E200" s="4"/>
    </row>
    <row r="201" spans="4:5" x14ac:dyDescent="0.55000000000000004">
      <c r="D201" s="4"/>
      <c r="E201" s="4"/>
    </row>
    <row r="202" spans="4:5" x14ac:dyDescent="0.55000000000000004">
      <c r="D202" s="4"/>
      <c r="E202" s="4"/>
    </row>
    <row r="203" spans="4:5" x14ac:dyDescent="0.55000000000000004">
      <c r="D203" s="4"/>
      <c r="E203" s="4"/>
    </row>
    <row r="204" spans="4:5" x14ac:dyDescent="0.55000000000000004">
      <c r="D204" s="4"/>
      <c r="E204" s="4"/>
    </row>
    <row r="205" spans="4:5" x14ac:dyDescent="0.55000000000000004">
      <c r="D205" s="4"/>
      <c r="E205" s="4"/>
    </row>
    <row r="206" spans="4:5" x14ac:dyDescent="0.55000000000000004">
      <c r="D206" s="4"/>
      <c r="E206" s="4"/>
    </row>
    <row r="207" spans="4:5" x14ac:dyDescent="0.55000000000000004">
      <c r="D207" s="4"/>
      <c r="E207" s="4"/>
    </row>
    <row r="208" spans="4:5" x14ac:dyDescent="0.55000000000000004">
      <c r="D208" s="4"/>
      <c r="E208" s="4"/>
    </row>
    <row r="209" spans="4:5" x14ac:dyDescent="0.55000000000000004">
      <c r="D209" s="4"/>
      <c r="E209" s="4"/>
    </row>
    <row r="210" spans="4:5" x14ac:dyDescent="0.55000000000000004">
      <c r="D210" s="4"/>
      <c r="E210" s="4"/>
    </row>
    <row r="211" spans="4:5" x14ac:dyDescent="0.55000000000000004">
      <c r="D211" s="4"/>
      <c r="E211" s="4"/>
    </row>
    <row r="212" spans="4:5" x14ac:dyDescent="0.55000000000000004">
      <c r="D212" s="4"/>
      <c r="E212" s="4"/>
    </row>
    <row r="213" spans="4:5" x14ac:dyDescent="0.55000000000000004">
      <c r="D213" s="4"/>
      <c r="E213" s="4"/>
    </row>
    <row r="214" spans="4:5" x14ac:dyDescent="0.55000000000000004">
      <c r="D214" s="4"/>
      <c r="E214" s="4"/>
    </row>
    <row r="215" spans="4:5" x14ac:dyDescent="0.55000000000000004">
      <c r="D215" s="4"/>
      <c r="E215" s="4"/>
    </row>
    <row r="216" spans="4:5" x14ac:dyDescent="0.55000000000000004">
      <c r="D216" s="4"/>
      <c r="E216" s="4"/>
    </row>
    <row r="217" spans="4:5" x14ac:dyDescent="0.55000000000000004">
      <c r="D217" s="4"/>
      <c r="E217" s="4"/>
    </row>
    <row r="218" spans="4:5" x14ac:dyDescent="0.55000000000000004">
      <c r="D218" s="4"/>
      <c r="E218" s="4"/>
    </row>
    <row r="219" spans="4:5" x14ac:dyDescent="0.55000000000000004">
      <c r="D219" s="4"/>
      <c r="E219" s="4"/>
    </row>
    <row r="220" spans="4:5" x14ac:dyDescent="0.55000000000000004">
      <c r="D220" s="4"/>
      <c r="E220" s="4"/>
    </row>
    <row r="221" spans="4:5" x14ac:dyDescent="0.55000000000000004">
      <c r="D221" s="4"/>
      <c r="E221" s="4"/>
    </row>
    <row r="222" spans="4:5" x14ac:dyDescent="0.55000000000000004">
      <c r="D222" s="4"/>
      <c r="E222" s="4"/>
    </row>
    <row r="223" spans="4:5" x14ac:dyDescent="0.55000000000000004">
      <c r="D223" s="4"/>
      <c r="E223" s="4"/>
    </row>
    <row r="224" spans="4:5" x14ac:dyDescent="0.55000000000000004">
      <c r="D224" s="4"/>
      <c r="E224" s="4"/>
    </row>
    <row r="225" spans="4:5" x14ac:dyDescent="0.55000000000000004">
      <c r="D225" s="4"/>
      <c r="E225" s="4"/>
    </row>
    <row r="226" spans="4:5" x14ac:dyDescent="0.55000000000000004">
      <c r="D226" s="4"/>
      <c r="E226" s="4"/>
    </row>
    <row r="227" spans="4:5" x14ac:dyDescent="0.55000000000000004">
      <c r="D227" s="4"/>
      <c r="E227" s="4"/>
    </row>
    <row r="228" spans="4:5" x14ac:dyDescent="0.55000000000000004">
      <c r="D228" s="4"/>
      <c r="E228" s="4"/>
    </row>
    <row r="229" spans="4:5" x14ac:dyDescent="0.55000000000000004">
      <c r="D229" s="4"/>
      <c r="E229" s="4"/>
    </row>
    <row r="230" spans="4:5" x14ac:dyDescent="0.55000000000000004">
      <c r="D230" s="4"/>
      <c r="E230" s="4"/>
    </row>
    <row r="231" spans="4:5" x14ac:dyDescent="0.55000000000000004">
      <c r="D231" s="4"/>
      <c r="E231" s="4"/>
    </row>
    <row r="232" spans="4:5" x14ac:dyDescent="0.55000000000000004">
      <c r="D232" s="4"/>
      <c r="E232" s="4"/>
    </row>
    <row r="233" spans="4:5" x14ac:dyDescent="0.55000000000000004">
      <c r="D233" s="4"/>
      <c r="E233" s="4"/>
    </row>
    <row r="234" spans="4:5" x14ac:dyDescent="0.55000000000000004">
      <c r="D234" s="4"/>
      <c r="E234" s="4"/>
    </row>
    <row r="235" spans="4:5" x14ac:dyDescent="0.55000000000000004">
      <c r="D235" s="4"/>
      <c r="E235" s="4"/>
    </row>
    <row r="236" spans="4:5" x14ac:dyDescent="0.55000000000000004">
      <c r="D236" s="4"/>
      <c r="E236" s="4"/>
    </row>
    <row r="237" spans="4:5" x14ac:dyDescent="0.55000000000000004">
      <c r="D237" s="4"/>
      <c r="E237" s="4"/>
    </row>
    <row r="238" spans="4:5" x14ac:dyDescent="0.55000000000000004">
      <c r="D238" s="4"/>
      <c r="E238" s="4"/>
    </row>
    <row r="239" spans="4:5" x14ac:dyDescent="0.55000000000000004">
      <c r="D239" s="4"/>
      <c r="E239" s="4"/>
    </row>
    <row r="240" spans="4:5" x14ac:dyDescent="0.55000000000000004">
      <c r="D240" s="4"/>
      <c r="E240" s="4"/>
    </row>
    <row r="241" spans="4:5" x14ac:dyDescent="0.55000000000000004">
      <c r="D241" s="4"/>
      <c r="E241" s="4"/>
    </row>
    <row r="242" spans="4:5" x14ac:dyDescent="0.55000000000000004">
      <c r="D242" s="4"/>
      <c r="E242" s="4"/>
    </row>
    <row r="243" spans="4:5" x14ac:dyDescent="0.55000000000000004">
      <c r="D243" s="4"/>
      <c r="E243" s="4"/>
    </row>
    <row r="244" spans="4:5" x14ac:dyDescent="0.55000000000000004">
      <c r="D244" s="4"/>
      <c r="E244" s="4"/>
    </row>
    <row r="245" spans="4:5" x14ac:dyDescent="0.55000000000000004">
      <c r="D245" s="4"/>
      <c r="E245" s="4"/>
    </row>
    <row r="246" spans="4:5" x14ac:dyDescent="0.55000000000000004">
      <c r="D246" s="4"/>
      <c r="E246" s="4"/>
    </row>
    <row r="247" spans="4:5" x14ac:dyDescent="0.55000000000000004">
      <c r="D247" s="4"/>
      <c r="E247" s="4"/>
    </row>
    <row r="248" spans="4:5" x14ac:dyDescent="0.55000000000000004">
      <c r="D248" s="4"/>
      <c r="E248" s="4"/>
    </row>
    <row r="249" spans="4:5" x14ac:dyDescent="0.55000000000000004">
      <c r="D249" s="4"/>
      <c r="E249" s="4"/>
    </row>
    <row r="250" spans="4:5" x14ac:dyDescent="0.55000000000000004">
      <c r="D250" s="4"/>
      <c r="E250" s="4"/>
    </row>
    <row r="251" spans="4:5" x14ac:dyDescent="0.55000000000000004">
      <c r="D251" s="4"/>
      <c r="E251" s="4"/>
    </row>
    <row r="252" spans="4:5" x14ac:dyDescent="0.55000000000000004">
      <c r="D252" s="4"/>
      <c r="E252" s="4"/>
    </row>
    <row r="253" spans="4:5" x14ac:dyDescent="0.55000000000000004">
      <c r="D253" s="4"/>
      <c r="E253" s="4"/>
    </row>
    <row r="254" spans="4:5" x14ac:dyDescent="0.55000000000000004">
      <c r="D254" s="4"/>
      <c r="E254" s="4"/>
    </row>
    <row r="255" spans="4:5" x14ac:dyDescent="0.55000000000000004">
      <c r="D255" s="4"/>
      <c r="E255" s="4"/>
    </row>
    <row r="256" spans="4:5" x14ac:dyDescent="0.55000000000000004">
      <c r="D256" s="4"/>
      <c r="E256" s="4"/>
    </row>
    <row r="257" spans="4:5" x14ac:dyDescent="0.55000000000000004">
      <c r="D257" s="4"/>
      <c r="E257" s="4"/>
    </row>
    <row r="258" spans="4:5" x14ac:dyDescent="0.55000000000000004">
      <c r="D258" s="4"/>
      <c r="E258" s="4"/>
    </row>
    <row r="259" spans="4:5" x14ac:dyDescent="0.55000000000000004">
      <c r="D259" s="4"/>
      <c r="E259" s="4"/>
    </row>
    <row r="260" spans="4:5" x14ac:dyDescent="0.55000000000000004">
      <c r="D260" s="4"/>
      <c r="E260" s="4"/>
    </row>
    <row r="261" spans="4:5" x14ac:dyDescent="0.55000000000000004">
      <c r="D261" s="4"/>
      <c r="E261" s="4"/>
    </row>
    <row r="262" spans="4:5" x14ac:dyDescent="0.55000000000000004">
      <c r="D262" s="4"/>
      <c r="E262" s="4"/>
    </row>
    <row r="263" spans="4:5" x14ac:dyDescent="0.55000000000000004">
      <c r="D263" s="4"/>
      <c r="E263" s="4"/>
    </row>
    <row r="264" spans="4:5" x14ac:dyDescent="0.55000000000000004">
      <c r="D264" s="4"/>
      <c r="E264" s="4"/>
    </row>
    <row r="265" spans="4:5" x14ac:dyDescent="0.55000000000000004">
      <c r="D265" s="4"/>
      <c r="E265" s="4"/>
    </row>
    <row r="266" spans="4:5" x14ac:dyDescent="0.55000000000000004">
      <c r="D266" s="4"/>
      <c r="E266" s="4"/>
    </row>
    <row r="267" spans="4:5" x14ac:dyDescent="0.55000000000000004">
      <c r="D267" s="4"/>
      <c r="E267" s="4"/>
    </row>
    <row r="268" spans="4:5" x14ac:dyDescent="0.55000000000000004">
      <c r="D268" s="4"/>
      <c r="E268" s="4"/>
    </row>
    <row r="269" spans="4:5" x14ac:dyDescent="0.55000000000000004">
      <c r="D269" s="4"/>
      <c r="E269" s="4"/>
    </row>
    <row r="270" spans="4:5" x14ac:dyDescent="0.55000000000000004">
      <c r="D270" s="4"/>
      <c r="E270" s="4"/>
    </row>
    <row r="271" spans="4:5" x14ac:dyDescent="0.55000000000000004">
      <c r="D271" s="4"/>
      <c r="E271" s="4"/>
    </row>
    <row r="272" spans="4:5" x14ac:dyDescent="0.55000000000000004">
      <c r="D272" s="4"/>
      <c r="E272" s="4"/>
    </row>
    <row r="273" spans="4:5" x14ac:dyDescent="0.55000000000000004">
      <c r="D273" s="4"/>
      <c r="E273" s="4"/>
    </row>
    <row r="274" spans="4:5" x14ac:dyDescent="0.55000000000000004">
      <c r="D274" s="4"/>
      <c r="E274" s="4"/>
    </row>
    <row r="275" spans="4:5" x14ac:dyDescent="0.55000000000000004">
      <c r="D275" s="4"/>
      <c r="E275" s="4"/>
    </row>
    <row r="276" spans="4:5" x14ac:dyDescent="0.55000000000000004">
      <c r="D276" s="4"/>
      <c r="E276" s="4"/>
    </row>
    <row r="277" spans="4:5" x14ac:dyDescent="0.55000000000000004">
      <c r="D277" s="4"/>
      <c r="E277" s="4"/>
    </row>
    <row r="278" spans="4:5" x14ac:dyDescent="0.55000000000000004">
      <c r="D278" s="4"/>
      <c r="E278" s="4"/>
    </row>
    <row r="279" spans="4:5" x14ac:dyDescent="0.55000000000000004">
      <c r="D279" s="4"/>
      <c r="E279" s="4"/>
    </row>
    <row r="280" spans="4:5" x14ac:dyDescent="0.55000000000000004">
      <c r="D280" s="4"/>
      <c r="E280" s="4"/>
    </row>
    <row r="281" spans="4:5" x14ac:dyDescent="0.55000000000000004">
      <c r="D281" s="4"/>
      <c r="E281" s="4"/>
    </row>
    <row r="282" spans="4:5" x14ac:dyDescent="0.55000000000000004">
      <c r="D282" s="4"/>
      <c r="E282" s="4"/>
    </row>
    <row r="283" spans="4:5" x14ac:dyDescent="0.55000000000000004">
      <c r="D283" s="4"/>
      <c r="E283" s="4"/>
    </row>
    <row r="284" spans="4:5" x14ac:dyDescent="0.55000000000000004">
      <c r="D284" s="4"/>
      <c r="E284" s="4"/>
    </row>
    <row r="285" spans="4:5" x14ac:dyDescent="0.55000000000000004">
      <c r="D285" s="4"/>
      <c r="E285" s="4"/>
    </row>
    <row r="286" spans="4:5" x14ac:dyDescent="0.55000000000000004">
      <c r="D286" s="4"/>
      <c r="E286" s="4"/>
    </row>
    <row r="287" spans="4:5" x14ac:dyDescent="0.55000000000000004">
      <c r="D287" s="4"/>
      <c r="E287" s="4"/>
    </row>
    <row r="288" spans="4:5" x14ac:dyDescent="0.55000000000000004">
      <c r="D288" s="4"/>
      <c r="E288" s="4"/>
    </row>
    <row r="289" spans="4:5" x14ac:dyDescent="0.55000000000000004">
      <c r="D289" s="4"/>
      <c r="E289" s="4"/>
    </row>
    <row r="290" spans="4:5" x14ac:dyDescent="0.55000000000000004">
      <c r="D290" s="4"/>
      <c r="E290" s="4"/>
    </row>
    <row r="291" spans="4:5" x14ac:dyDescent="0.55000000000000004">
      <c r="D291" s="4"/>
      <c r="E291" s="4"/>
    </row>
    <row r="292" spans="4:5" x14ac:dyDescent="0.55000000000000004">
      <c r="D292" s="4"/>
      <c r="E292" s="4"/>
    </row>
    <row r="293" spans="4:5" x14ac:dyDescent="0.55000000000000004">
      <c r="D293" s="4"/>
      <c r="E293" s="4"/>
    </row>
    <row r="294" spans="4:5" x14ac:dyDescent="0.55000000000000004">
      <c r="D294" s="4"/>
      <c r="E294" s="4"/>
    </row>
    <row r="295" spans="4:5" x14ac:dyDescent="0.55000000000000004">
      <c r="D295" s="4"/>
      <c r="E295" s="4"/>
    </row>
    <row r="296" spans="4:5" x14ac:dyDescent="0.55000000000000004">
      <c r="D296" s="4"/>
      <c r="E296" s="4"/>
    </row>
    <row r="297" spans="4:5" x14ac:dyDescent="0.55000000000000004">
      <c r="D297" s="4"/>
      <c r="E297" s="4"/>
    </row>
    <row r="298" spans="4:5" x14ac:dyDescent="0.55000000000000004">
      <c r="D298" s="4"/>
      <c r="E298" s="4"/>
    </row>
    <row r="299" spans="4:5" x14ac:dyDescent="0.55000000000000004">
      <c r="D299" s="4"/>
      <c r="E299" s="4"/>
    </row>
    <row r="300" spans="4:5" x14ac:dyDescent="0.55000000000000004">
      <c r="D300" s="4"/>
      <c r="E300" s="4"/>
    </row>
    <row r="301" spans="4:5" x14ac:dyDescent="0.55000000000000004">
      <c r="D301" s="4"/>
      <c r="E301" s="4"/>
    </row>
    <row r="302" spans="4:5" x14ac:dyDescent="0.55000000000000004">
      <c r="D302" s="4"/>
      <c r="E302" s="4"/>
    </row>
    <row r="303" spans="4:5" x14ac:dyDescent="0.55000000000000004">
      <c r="D303" s="4"/>
      <c r="E303" s="4"/>
    </row>
    <row r="304" spans="4:5" x14ac:dyDescent="0.55000000000000004">
      <c r="D304" s="4"/>
      <c r="E304" s="4"/>
    </row>
    <row r="305" spans="4:5" x14ac:dyDescent="0.55000000000000004">
      <c r="D305" s="4"/>
      <c r="E305" s="4"/>
    </row>
    <row r="306" spans="4:5" x14ac:dyDescent="0.55000000000000004">
      <c r="D306" s="4"/>
      <c r="E306" s="4"/>
    </row>
    <row r="307" spans="4:5" x14ac:dyDescent="0.55000000000000004">
      <c r="D307" s="4"/>
      <c r="E307" s="4"/>
    </row>
    <row r="308" spans="4:5" x14ac:dyDescent="0.55000000000000004">
      <c r="D308" s="4"/>
      <c r="E308" s="4"/>
    </row>
    <row r="309" spans="4:5" x14ac:dyDescent="0.55000000000000004">
      <c r="D309" s="4"/>
      <c r="E309" s="4"/>
    </row>
    <row r="310" spans="4:5" x14ac:dyDescent="0.55000000000000004">
      <c r="D310" s="4"/>
      <c r="E310" s="4"/>
    </row>
    <row r="311" spans="4:5" x14ac:dyDescent="0.55000000000000004">
      <c r="D311" s="4"/>
      <c r="E311" s="4"/>
    </row>
    <row r="312" spans="4:5" x14ac:dyDescent="0.55000000000000004">
      <c r="D312" s="4"/>
      <c r="E312" s="4"/>
    </row>
    <row r="313" spans="4:5" x14ac:dyDescent="0.55000000000000004">
      <c r="D313" s="4"/>
      <c r="E313" s="4"/>
    </row>
    <row r="314" spans="4:5" x14ac:dyDescent="0.55000000000000004">
      <c r="D314" s="4"/>
      <c r="E314" s="4"/>
    </row>
    <row r="315" spans="4:5" x14ac:dyDescent="0.55000000000000004">
      <c r="D315" s="4"/>
      <c r="E315" s="4"/>
    </row>
    <row r="316" spans="4:5" x14ac:dyDescent="0.55000000000000004">
      <c r="D316" s="4"/>
      <c r="E316" s="4"/>
    </row>
    <row r="317" spans="4:5" x14ac:dyDescent="0.55000000000000004">
      <c r="D317" s="4"/>
      <c r="E317" s="4"/>
    </row>
    <row r="318" spans="4:5" x14ac:dyDescent="0.55000000000000004">
      <c r="D318" s="4"/>
      <c r="E318" s="4"/>
    </row>
    <row r="319" spans="4:5" x14ac:dyDescent="0.55000000000000004">
      <c r="D319" s="4"/>
      <c r="E319" s="4"/>
    </row>
    <row r="320" spans="4:5" x14ac:dyDescent="0.55000000000000004">
      <c r="D320" s="4"/>
      <c r="E320" s="4"/>
    </row>
    <row r="321" spans="4:5" x14ac:dyDescent="0.55000000000000004">
      <c r="D321" s="4"/>
      <c r="E321" s="4"/>
    </row>
    <row r="322" spans="4:5" x14ac:dyDescent="0.55000000000000004">
      <c r="D322" s="4"/>
      <c r="E322" s="4"/>
    </row>
    <row r="323" spans="4:5" x14ac:dyDescent="0.55000000000000004">
      <c r="D323" s="4"/>
      <c r="E323" s="4"/>
    </row>
    <row r="324" spans="4:5" x14ac:dyDescent="0.55000000000000004">
      <c r="D324" s="4"/>
      <c r="E324" s="4"/>
    </row>
    <row r="325" spans="4:5" x14ac:dyDescent="0.55000000000000004">
      <c r="D325" s="4"/>
      <c r="E325" s="4"/>
    </row>
    <row r="326" spans="4:5" x14ac:dyDescent="0.55000000000000004">
      <c r="D326" s="4"/>
      <c r="E326" s="4"/>
    </row>
    <row r="327" spans="4:5" x14ac:dyDescent="0.55000000000000004">
      <c r="D327" s="4"/>
      <c r="E327" s="4"/>
    </row>
    <row r="328" spans="4:5" x14ac:dyDescent="0.55000000000000004">
      <c r="D328" s="4"/>
      <c r="E328" s="4"/>
    </row>
    <row r="329" spans="4:5" x14ac:dyDescent="0.55000000000000004">
      <c r="D329" s="4"/>
      <c r="E329" s="4"/>
    </row>
    <row r="330" spans="4:5" x14ac:dyDescent="0.55000000000000004">
      <c r="D330" s="4"/>
      <c r="E330" s="4"/>
    </row>
    <row r="331" spans="4:5" x14ac:dyDescent="0.55000000000000004">
      <c r="D331" s="4"/>
      <c r="E331" s="4"/>
    </row>
    <row r="332" spans="4:5" x14ac:dyDescent="0.55000000000000004">
      <c r="D332" s="4"/>
      <c r="E332" s="4"/>
    </row>
    <row r="333" spans="4:5" x14ac:dyDescent="0.55000000000000004">
      <c r="D333" s="4"/>
      <c r="E333" s="4"/>
    </row>
    <row r="334" spans="4:5" x14ac:dyDescent="0.55000000000000004">
      <c r="D334" s="4"/>
      <c r="E334" s="4"/>
    </row>
    <row r="335" spans="4:5" x14ac:dyDescent="0.55000000000000004">
      <c r="D335" s="4"/>
      <c r="E335" s="4"/>
    </row>
  </sheetData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C045EF-B3A8-40DC-9ABA-8C3E50CFE1D4}">
  <dimension ref="A1:M335"/>
  <sheetViews>
    <sheetView workbookViewId="0">
      <selection activeCell="G19" sqref="G19"/>
    </sheetView>
  </sheetViews>
  <sheetFormatPr defaultRowHeight="14.4" x14ac:dyDescent="0.55000000000000004"/>
  <cols>
    <col min="1" max="3" width="8.83984375" style="3"/>
    <col min="4" max="4" width="11.3125" customWidth="1"/>
    <col min="5" max="5" width="6.83984375" customWidth="1"/>
  </cols>
  <sheetData>
    <row r="1" spans="1:13" x14ac:dyDescent="0.55000000000000004">
      <c r="A1" s="3" t="s">
        <v>0</v>
      </c>
      <c r="B1" s="3" t="s">
        <v>1</v>
      </c>
      <c r="C1" s="3" t="s">
        <v>2</v>
      </c>
      <c r="D1" s="4" t="s">
        <v>3</v>
      </c>
      <c r="E1" s="4" t="s">
        <v>17</v>
      </c>
    </row>
    <row r="2" spans="1:13" x14ac:dyDescent="0.55000000000000004">
      <c r="A2" s="3" t="s">
        <v>4</v>
      </c>
      <c r="B2" s="3" t="s">
        <v>5</v>
      </c>
      <c r="C2" s="3" t="s">
        <v>6</v>
      </c>
      <c r="D2" s="4" t="s">
        <v>7</v>
      </c>
      <c r="E2" s="4" t="s">
        <v>16</v>
      </c>
    </row>
    <row r="3" spans="1:13" x14ac:dyDescent="0.55000000000000004">
      <c r="A3" s="3">
        <v>3.7</v>
      </c>
      <c r="B3" s="3">
        <v>0.30630000000000002</v>
      </c>
      <c r="C3" s="3">
        <v>28.18</v>
      </c>
      <c r="D3" s="4">
        <f>((B3/$L$3))-0.00275945945945946</f>
        <v>0</v>
      </c>
      <c r="E3" s="4">
        <f t="shared" ref="E3:E29" si="0">C3/$L$4</f>
        <v>0.46966666666666668</v>
      </c>
      <c r="K3" t="s">
        <v>15</v>
      </c>
      <c r="L3">
        <v>111</v>
      </c>
      <c r="M3" t="s">
        <v>9</v>
      </c>
    </row>
    <row r="4" spans="1:13" x14ac:dyDescent="0.55000000000000004">
      <c r="A4" s="3">
        <v>3.8</v>
      </c>
      <c r="B4" s="3">
        <v>0.31459999999999999</v>
      </c>
      <c r="C4" s="3">
        <v>32.21</v>
      </c>
      <c r="D4" s="4">
        <f t="shared" ref="D4:D67" si="1">((B4/$L$3))-0.00275945945945946</f>
        <v>7.4774774774773959E-5</v>
      </c>
      <c r="E4" s="4">
        <f t="shared" si="0"/>
        <v>0.53683333333333338</v>
      </c>
      <c r="K4" t="s">
        <v>14</v>
      </c>
      <c r="L4">
        <f>10*6</f>
        <v>60</v>
      </c>
      <c r="M4" t="s">
        <v>13</v>
      </c>
    </row>
    <row r="5" spans="1:13" x14ac:dyDescent="0.55000000000000004">
      <c r="A5" s="3">
        <v>3.9</v>
      </c>
      <c r="B5" s="3">
        <v>0.32290000000000002</v>
      </c>
      <c r="C5" s="3">
        <v>36.24</v>
      </c>
      <c r="D5" s="4">
        <f t="shared" si="1"/>
        <v>1.4954954954954879E-4</v>
      </c>
      <c r="E5" s="4">
        <f t="shared" si="0"/>
        <v>0.60399999999999998</v>
      </c>
    </row>
    <row r="6" spans="1:13" x14ac:dyDescent="0.55000000000000004">
      <c r="A6" s="3">
        <v>4</v>
      </c>
      <c r="B6" s="3">
        <v>0.33129999999999998</v>
      </c>
      <c r="C6" s="3">
        <v>40.26</v>
      </c>
      <c r="D6" s="4">
        <f t="shared" si="1"/>
        <v>2.2522522522522423E-4</v>
      </c>
      <c r="E6" s="4">
        <f t="shared" si="0"/>
        <v>0.67099999999999993</v>
      </c>
    </row>
    <row r="7" spans="1:13" x14ac:dyDescent="0.55000000000000004">
      <c r="A7" s="3">
        <v>4.0999999999999996</v>
      </c>
      <c r="B7" s="3">
        <v>0.33960000000000001</v>
      </c>
      <c r="C7" s="3">
        <v>44.29</v>
      </c>
      <c r="D7" s="4">
        <f t="shared" si="1"/>
        <v>2.9999999999999949E-4</v>
      </c>
      <c r="E7" s="4">
        <f t="shared" si="0"/>
        <v>0.73816666666666664</v>
      </c>
    </row>
    <row r="8" spans="1:13" x14ac:dyDescent="0.55000000000000004">
      <c r="A8" s="3">
        <v>4.2</v>
      </c>
      <c r="B8" s="3">
        <v>0.34789999999999999</v>
      </c>
      <c r="C8" s="3">
        <v>48.32</v>
      </c>
      <c r="D8" s="4">
        <f t="shared" si="1"/>
        <v>3.7477477477477388E-4</v>
      </c>
      <c r="E8" s="4">
        <f t="shared" si="0"/>
        <v>0.80533333333333335</v>
      </c>
    </row>
    <row r="9" spans="1:13" x14ac:dyDescent="0.55000000000000004">
      <c r="A9" s="3">
        <v>4.3</v>
      </c>
      <c r="B9" s="3">
        <v>0.35620000000000002</v>
      </c>
      <c r="C9" s="3">
        <v>53.15</v>
      </c>
      <c r="D9" s="4">
        <f t="shared" si="1"/>
        <v>4.4954954954954914E-4</v>
      </c>
      <c r="E9" s="4">
        <f t="shared" si="0"/>
        <v>0.88583333333333336</v>
      </c>
    </row>
    <row r="10" spans="1:13" x14ac:dyDescent="0.55000000000000004">
      <c r="A10" s="3">
        <v>4.4000000000000004</v>
      </c>
      <c r="B10" s="3">
        <v>0.36459999999999998</v>
      </c>
      <c r="C10" s="3">
        <v>57.17</v>
      </c>
      <c r="D10" s="4">
        <f t="shared" si="1"/>
        <v>5.2522522522522415E-4</v>
      </c>
      <c r="E10" s="4">
        <f t="shared" si="0"/>
        <v>0.95283333333333331</v>
      </c>
    </row>
    <row r="11" spans="1:13" x14ac:dyDescent="0.55000000000000004">
      <c r="A11" s="3">
        <v>4.5</v>
      </c>
      <c r="B11" s="3">
        <v>0.37290000000000001</v>
      </c>
      <c r="C11" s="3">
        <v>62.01</v>
      </c>
      <c r="D11" s="4">
        <f t="shared" si="1"/>
        <v>5.9999999999999941E-4</v>
      </c>
      <c r="E11" s="4">
        <f t="shared" si="0"/>
        <v>1.0334999999999999</v>
      </c>
    </row>
    <row r="12" spans="1:13" x14ac:dyDescent="0.55000000000000004">
      <c r="A12" s="3">
        <v>4.5999999999999996</v>
      </c>
      <c r="B12" s="3">
        <v>0.38129999999999997</v>
      </c>
      <c r="C12" s="3">
        <v>66.03</v>
      </c>
      <c r="D12" s="4">
        <f t="shared" si="1"/>
        <v>6.7567567567567485E-4</v>
      </c>
      <c r="E12" s="4">
        <f t="shared" si="0"/>
        <v>1.1005</v>
      </c>
    </row>
    <row r="13" spans="1:13" x14ac:dyDescent="0.55000000000000004">
      <c r="A13" s="3">
        <v>4.7</v>
      </c>
      <c r="B13" s="3">
        <v>0.3896</v>
      </c>
      <c r="C13" s="3">
        <v>70.06</v>
      </c>
      <c r="D13" s="4">
        <f t="shared" si="1"/>
        <v>7.5045045045044967E-4</v>
      </c>
      <c r="E13" s="4">
        <f t="shared" si="0"/>
        <v>1.1676666666666666</v>
      </c>
    </row>
    <row r="14" spans="1:13" x14ac:dyDescent="0.55000000000000004">
      <c r="A14" s="3">
        <v>4.8</v>
      </c>
      <c r="B14" s="3">
        <v>0.39789999999999998</v>
      </c>
      <c r="C14" s="3">
        <v>74.09</v>
      </c>
      <c r="D14" s="4">
        <f t="shared" si="1"/>
        <v>8.2522522522522406E-4</v>
      </c>
      <c r="E14" s="4">
        <f t="shared" si="0"/>
        <v>1.2348333333333334</v>
      </c>
    </row>
    <row r="15" spans="1:13" x14ac:dyDescent="0.55000000000000004">
      <c r="A15" s="3">
        <v>4.9000000000000004</v>
      </c>
      <c r="B15" s="3">
        <v>0.40629999999999999</v>
      </c>
      <c r="C15" s="3">
        <v>78.92</v>
      </c>
      <c r="D15" s="4">
        <f t="shared" si="1"/>
        <v>9.0090090090089994E-4</v>
      </c>
      <c r="E15" s="4">
        <f t="shared" si="0"/>
        <v>1.3153333333333335</v>
      </c>
    </row>
    <row r="16" spans="1:13" x14ac:dyDescent="0.55000000000000004">
      <c r="A16" s="3">
        <v>5</v>
      </c>
      <c r="B16" s="3">
        <v>0.41460000000000002</v>
      </c>
      <c r="C16" s="3">
        <v>82.95</v>
      </c>
      <c r="D16" s="4">
        <f t="shared" si="1"/>
        <v>9.756756756756752E-4</v>
      </c>
      <c r="E16" s="4">
        <f t="shared" si="0"/>
        <v>1.3825000000000001</v>
      </c>
    </row>
    <row r="17" spans="1:13" x14ac:dyDescent="0.55000000000000004">
      <c r="A17" s="3">
        <v>5.0999999999999996</v>
      </c>
      <c r="B17" s="3">
        <v>0.4229</v>
      </c>
      <c r="C17" s="3">
        <v>86.97</v>
      </c>
      <c r="D17" s="4">
        <f t="shared" si="1"/>
        <v>1.0504504504504496E-3</v>
      </c>
      <c r="E17" s="4">
        <f t="shared" si="0"/>
        <v>1.4495</v>
      </c>
    </row>
    <row r="18" spans="1:13" x14ac:dyDescent="0.55000000000000004">
      <c r="A18" s="3">
        <v>5.2</v>
      </c>
      <c r="B18" s="3">
        <v>0.43120000000000003</v>
      </c>
      <c r="C18" s="3">
        <v>91.81</v>
      </c>
      <c r="D18" s="4">
        <f t="shared" si="1"/>
        <v>1.1252252252252249E-3</v>
      </c>
      <c r="E18" s="4">
        <f t="shared" si="0"/>
        <v>1.5301666666666667</v>
      </c>
    </row>
    <row r="19" spans="1:13" x14ac:dyDescent="0.55000000000000004">
      <c r="A19" s="3">
        <v>5.3</v>
      </c>
      <c r="B19" s="3">
        <v>0.43959999999999999</v>
      </c>
      <c r="C19" s="3">
        <v>95.83</v>
      </c>
      <c r="D19" s="4">
        <f t="shared" si="1"/>
        <v>1.2009009009008999E-3</v>
      </c>
      <c r="E19" s="4">
        <f t="shared" si="0"/>
        <v>1.5971666666666666</v>
      </c>
    </row>
    <row r="20" spans="1:13" x14ac:dyDescent="0.55000000000000004">
      <c r="A20" s="3">
        <v>5.4</v>
      </c>
      <c r="B20" s="3">
        <v>0.44790000000000002</v>
      </c>
      <c r="C20" s="3">
        <v>99.86</v>
      </c>
      <c r="D20" s="4">
        <f t="shared" si="1"/>
        <v>1.2756756756756751E-3</v>
      </c>
      <c r="E20" s="4">
        <f t="shared" si="0"/>
        <v>1.6643333333333332</v>
      </c>
    </row>
    <row r="21" spans="1:13" x14ac:dyDescent="0.55000000000000004">
      <c r="A21" s="3">
        <v>5.5</v>
      </c>
      <c r="B21" s="3">
        <v>0.45629999999999998</v>
      </c>
      <c r="C21" s="3">
        <v>104.69</v>
      </c>
      <c r="D21" s="4">
        <f t="shared" si="1"/>
        <v>1.3513513513513501E-3</v>
      </c>
      <c r="E21" s="4">
        <f t="shared" si="0"/>
        <v>1.7448333333333332</v>
      </c>
    </row>
    <row r="22" spans="1:13" x14ac:dyDescent="0.55000000000000004">
      <c r="A22" s="3">
        <v>5.6</v>
      </c>
      <c r="B22" s="3">
        <v>0.46460000000000001</v>
      </c>
      <c r="C22" s="3">
        <v>108.72</v>
      </c>
      <c r="D22" s="4">
        <f t="shared" si="1"/>
        <v>1.4261261261261254E-3</v>
      </c>
      <c r="E22" s="4">
        <f t="shared" si="0"/>
        <v>1.8120000000000001</v>
      </c>
    </row>
    <row r="23" spans="1:13" x14ac:dyDescent="0.55000000000000004">
      <c r="A23" s="3">
        <v>5.7</v>
      </c>
      <c r="B23" s="3">
        <v>0.47289999999999999</v>
      </c>
      <c r="C23" s="3">
        <v>112.74</v>
      </c>
      <c r="D23" s="4">
        <f t="shared" si="1"/>
        <v>1.5009009009008998E-3</v>
      </c>
      <c r="E23" s="4">
        <f t="shared" si="0"/>
        <v>1.879</v>
      </c>
    </row>
    <row r="24" spans="1:13" x14ac:dyDescent="0.55000000000000004">
      <c r="A24" s="3">
        <v>5.8</v>
      </c>
      <c r="B24" s="3">
        <v>0.48130000000000001</v>
      </c>
      <c r="C24" s="3">
        <v>117.58</v>
      </c>
      <c r="D24" s="4">
        <f t="shared" si="1"/>
        <v>1.5765765765765757E-3</v>
      </c>
      <c r="E24" s="4">
        <f t="shared" si="0"/>
        <v>1.9596666666666667</v>
      </c>
    </row>
    <row r="25" spans="1:13" x14ac:dyDescent="0.55000000000000004">
      <c r="A25" s="3">
        <v>5.9</v>
      </c>
      <c r="B25" s="3">
        <v>0.48959999999999998</v>
      </c>
      <c r="C25" s="3">
        <v>122.41</v>
      </c>
      <c r="D25" s="4">
        <f t="shared" si="1"/>
        <v>1.65135135135135E-3</v>
      </c>
      <c r="E25" s="4">
        <f t="shared" si="0"/>
        <v>2.0401666666666665</v>
      </c>
    </row>
    <row r="26" spans="1:13" x14ac:dyDescent="0.55000000000000004">
      <c r="A26" s="3">
        <v>6</v>
      </c>
      <c r="B26" s="3">
        <v>0.49790000000000001</v>
      </c>
      <c r="C26" s="3">
        <v>126.44</v>
      </c>
      <c r="D26" s="4">
        <f t="shared" si="1"/>
        <v>1.7261261261261253E-3</v>
      </c>
      <c r="E26" s="4">
        <f t="shared" si="0"/>
        <v>2.1073333333333335</v>
      </c>
      <c r="J26" s="5" t="s">
        <v>12</v>
      </c>
      <c r="K26" s="5"/>
      <c r="L26" s="6">
        <f>MAX(E:E)</f>
        <v>9.4224996666666652</v>
      </c>
      <c r="M26" s="5" t="s">
        <v>11</v>
      </c>
    </row>
    <row r="27" spans="1:13" x14ac:dyDescent="0.55000000000000004">
      <c r="A27" s="3">
        <v>6.1</v>
      </c>
      <c r="B27" s="3">
        <v>0.50619999999999998</v>
      </c>
      <c r="C27" s="3">
        <v>130.46001000000001</v>
      </c>
      <c r="D27" s="4">
        <f t="shared" si="1"/>
        <v>1.8009009009008997E-3</v>
      </c>
      <c r="E27" s="4">
        <f t="shared" si="0"/>
        <v>2.1743335000000004</v>
      </c>
      <c r="J27" s="5" t="s">
        <v>10</v>
      </c>
      <c r="K27" s="5"/>
      <c r="L27" s="5">
        <v>1.0735135135135134E-2</v>
      </c>
      <c r="M27" s="5" t="s">
        <v>18</v>
      </c>
    </row>
    <row r="28" spans="1:13" x14ac:dyDescent="0.55000000000000004">
      <c r="A28" s="3">
        <v>6.2</v>
      </c>
      <c r="B28" s="3">
        <v>0.51459999999999995</v>
      </c>
      <c r="C28" s="3">
        <v>135.28998999999999</v>
      </c>
      <c r="D28" s="4">
        <f t="shared" si="1"/>
        <v>1.8765765765765756E-3</v>
      </c>
      <c r="E28" s="4">
        <f t="shared" si="0"/>
        <v>2.2548331666666663</v>
      </c>
    </row>
    <row r="29" spans="1:13" x14ac:dyDescent="0.55000000000000004">
      <c r="A29" s="3">
        <v>6.3</v>
      </c>
      <c r="B29" s="3">
        <v>0.52290000000000003</v>
      </c>
      <c r="C29" s="3">
        <v>139.32</v>
      </c>
      <c r="D29" s="4">
        <f t="shared" si="1"/>
        <v>1.9513513513513508E-3</v>
      </c>
      <c r="E29" s="4">
        <f t="shared" si="0"/>
        <v>2.3220000000000001</v>
      </c>
    </row>
    <row r="30" spans="1:13" x14ac:dyDescent="0.55000000000000004">
      <c r="A30" s="3">
        <v>6.4</v>
      </c>
      <c r="B30" s="3">
        <v>0.53129999999999999</v>
      </c>
      <c r="C30" s="3">
        <v>143.35</v>
      </c>
      <c r="D30" s="4">
        <f t="shared" si="1"/>
        <v>2.0270270270270258E-3</v>
      </c>
      <c r="E30" s="4">
        <f t="shared" ref="E30:E93" si="2">C30/$L$4</f>
        <v>2.3891666666666667</v>
      </c>
    </row>
    <row r="31" spans="1:13" x14ac:dyDescent="0.55000000000000004">
      <c r="A31" s="3">
        <v>6.5</v>
      </c>
      <c r="B31" s="3">
        <v>0.53959999999999997</v>
      </c>
      <c r="C31" s="3">
        <v>148.18001000000001</v>
      </c>
      <c r="D31" s="4">
        <f t="shared" si="1"/>
        <v>2.1018018018018011E-3</v>
      </c>
      <c r="E31" s="4">
        <f t="shared" si="2"/>
        <v>2.4696668333333336</v>
      </c>
    </row>
    <row r="32" spans="1:13" x14ac:dyDescent="0.55000000000000004">
      <c r="A32" s="3">
        <v>6.6</v>
      </c>
      <c r="B32" s="3">
        <v>0.54790000000000005</v>
      </c>
      <c r="C32" s="3">
        <v>153.00998999999999</v>
      </c>
      <c r="D32" s="4">
        <f t="shared" si="1"/>
        <v>2.1765765765765764E-3</v>
      </c>
      <c r="E32" s="4">
        <f t="shared" si="2"/>
        <v>2.5501665</v>
      </c>
    </row>
    <row r="33" spans="1:5" x14ac:dyDescent="0.55000000000000004">
      <c r="A33" s="3">
        <v>6.7</v>
      </c>
      <c r="B33" s="3">
        <v>0.55630000000000002</v>
      </c>
      <c r="C33" s="3">
        <v>158.64999</v>
      </c>
      <c r="D33" s="4">
        <f t="shared" si="1"/>
        <v>2.2522522522522514E-3</v>
      </c>
      <c r="E33" s="4">
        <f t="shared" si="2"/>
        <v>2.6441664999999999</v>
      </c>
    </row>
    <row r="34" spans="1:5" x14ac:dyDescent="0.55000000000000004">
      <c r="A34" s="3">
        <v>6.8</v>
      </c>
      <c r="B34" s="3">
        <v>0.56459999999999999</v>
      </c>
      <c r="C34" s="3">
        <v>163.47999999999999</v>
      </c>
      <c r="D34" s="4">
        <f t="shared" si="1"/>
        <v>2.3270270270270266E-3</v>
      </c>
      <c r="E34" s="4">
        <f t="shared" si="2"/>
        <v>2.7246666666666663</v>
      </c>
    </row>
    <row r="35" spans="1:5" x14ac:dyDescent="0.55000000000000004">
      <c r="A35" s="3">
        <v>6.9</v>
      </c>
      <c r="B35" s="3">
        <v>0.57289999999999996</v>
      </c>
      <c r="C35" s="3">
        <v>168.31</v>
      </c>
      <c r="D35" s="4">
        <f t="shared" si="1"/>
        <v>2.401801801801801E-3</v>
      </c>
      <c r="E35" s="4">
        <f t="shared" si="2"/>
        <v>2.8051666666666666</v>
      </c>
    </row>
    <row r="36" spans="1:5" x14ac:dyDescent="0.55000000000000004">
      <c r="A36" s="3">
        <v>7</v>
      </c>
      <c r="B36" s="3">
        <v>0.58120000000000005</v>
      </c>
      <c r="C36" s="3">
        <v>173.15</v>
      </c>
      <c r="D36" s="4">
        <f t="shared" si="1"/>
        <v>2.4765765765765763E-3</v>
      </c>
      <c r="E36" s="4">
        <f t="shared" si="2"/>
        <v>2.8858333333333333</v>
      </c>
    </row>
    <row r="37" spans="1:5" x14ac:dyDescent="0.55000000000000004">
      <c r="A37" s="3">
        <v>7.1</v>
      </c>
      <c r="B37" s="3">
        <v>0.58960000000000001</v>
      </c>
      <c r="C37" s="3">
        <v>177.98</v>
      </c>
      <c r="D37" s="4">
        <f t="shared" si="1"/>
        <v>2.5522522522522513E-3</v>
      </c>
      <c r="E37" s="4">
        <f t="shared" si="2"/>
        <v>2.966333333333333</v>
      </c>
    </row>
    <row r="38" spans="1:5" x14ac:dyDescent="0.55000000000000004">
      <c r="A38" s="3">
        <v>7.2</v>
      </c>
      <c r="B38" s="3">
        <v>0.59789999999999999</v>
      </c>
      <c r="C38" s="3">
        <v>182.81001000000001</v>
      </c>
      <c r="D38" s="4">
        <f t="shared" si="1"/>
        <v>2.6270270270270265E-3</v>
      </c>
      <c r="E38" s="4">
        <f t="shared" si="2"/>
        <v>3.0468335</v>
      </c>
    </row>
    <row r="39" spans="1:5" x14ac:dyDescent="0.55000000000000004">
      <c r="A39" s="3">
        <v>7.3</v>
      </c>
      <c r="B39" s="3">
        <v>0.60629999999999995</v>
      </c>
      <c r="C39" s="3">
        <v>188.44999000000001</v>
      </c>
      <c r="D39" s="4">
        <f t="shared" si="1"/>
        <v>2.7027027027027016E-3</v>
      </c>
      <c r="E39" s="4">
        <f t="shared" si="2"/>
        <v>3.1408331666666669</v>
      </c>
    </row>
    <row r="40" spans="1:5" x14ac:dyDescent="0.55000000000000004">
      <c r="A40" s="3">
        <v>7.4</v>
      </c>
      <c r="B40" s="3">
        <v>0.61460000000000004</v>
      </c>
      <c r="C40" s="3">
        <v>193.28</v>
      </c>
      <c r="D40" s="4">
        <f t="shared" si="1"/>
        <v>2.7774774774774768E-3</v>
      </c>
      <c r="E40" s="4">
        <f t="shared" si="2"/>
        <v>3.2213333333333334</v>
      </c>
    </row>
    <row r="41" spans="1:5" x14ac:dyDescent="0.55000000000000004">
      <c r="A41" s="3">
        <v>7.5</v>
      </c>
      <c r="B41" s="3">
        <v>0.62290000000000001</v>
      </c>
      <c r="C41" s="3">
        <v>198.11</v>
      </c>
      <c r="D41" s="4">
        <f t="shared" si="1"/>
        <v>2.8522522522522512E-3</v>
      </c>
      <c r="E41" s="4">
        <f t="shared" si="2"/>
        <v>3.3018333333333336</v>
      </c>
    </row>
    <row r="42" spans="1:5" x14ac:dyDescent="0.55000000000000004">
      <c r="A42" s="3">
        <v>7.6</v>
      </c>
      <c r="B42" s="3">
        <v>0.63129999999999997</v>
      </c>
      <c r="C42" s="3">
        <v>202.94</v>
      </c>
      <c r="D42" s="4">
        <f t="shared" si="1"/>
        <v>2.9279279279279271E-3</v>
      </c>
      <c r="E42" s="4">
        <f t="shared" si="2"/>
        <v>3.3823333333333334</v>
      </c>
    </row>
    <row r="43" spans="1:5" x14ac:dyDescent="0.55000000000000004">
      <c r="A43" s="3">
        <v>7.7</v>
      </c>
      <c r="B43" s="3">
        <v>0.63959999999999995</v>
      </c>
      <c r="C43" s="3">
        <v>207.78</v>
      </c>
      <c r="D43" s="4">
        <f t="shared" si="1"/>
        <v>3.0027027027027015E-3</v>
      </c>
      <c r="E43" s="4">
        <f t="shared" si="2"/>
        <v>3.4630000000000001</v>
      </c>
    </row>
    <row r="44" spans="1:5" x14ac:dyDescent="0.55000000000000004">
      <c r="A44" s="3">
        <v>7.8</v>
      </c>
      <c r="B44" s="3">
        <v>0.64790000000000003</v>
      </c>
      <c r="C44" s="3">
        <v>212.61000999999999</v>
      </c>
      <c r="D44" s="4">
        <f t="shared" si="1"/>
        <v>3.0774774774774767E-3</v>
      </c>
      <c r="E44" s="4">
        <f t="shared" si="2"/>
        <v>3.5435001666666666</v>
      </c>
    </row>
    <row r="45" spans="1:5" x14ac:dyDescent="0.55000000000000004">
      <c r="A45" s="3">
        <v>7.9</v>
      </c>
      <c r="B45" s="3">
        <v>0.65620000000000001</v>
      </c>
      <c r="C45" s="3">
        <v>218.25001</v>
      </c>
      <c r="D45" s="4">
        <f t="shared" si="1"/>
        <v>3.152252252252252E-3</v>
      </c>
      <c r="E45" s="4">
        <f t="shared" si="2"/>
        <v>3.6375001666666669</v>
      </c>
    </row>
    <row r="46" spans="1:5" x14ac:dyDescent="0.55000000000000004">
      <c r="A46" s="3">
        <v>8</v>
      </c>
      <c r="B46" s="3">
        <v>0.66459999999999997</v>
      </c>
      <c r="C46" s="3">
        <v>222.27</v>
      </c>
      <c r="D46" s="4">
        <f t="shared" si="1"/>
        <v>3.227927927927927E-3</v>
      </c>
      <c r="E46" s="4">
        <f t="shared" si="2"/>
        <v>3.7045000000000003</v>
      </c>
    </row>
    <row r="47" spans="1:5" x14ac:dyDescent="0.55000000000000004">
      <c r="A47" s="3">
        <v>8.1</v>
      </c>
      <c r="B47" s="3">
        <v>0.67290000000000005</v>
      </c>
      <c r="C47" s="3">
        <v>227.1</v>
      </c>
      <c r="D47" s="4">
        <f t="shared" si="1"/>
        <v>3.3027027027027023E-3</v>
      </c>
      <c r="E47" s="4">
        <f t="shared" si="2"/>
        <v>3.7849999999999997</v>
      </c>
    </row>
    <row r="48" spans="1:5" x14ac:dyDescent="0.55000000000000004">
      <c r="A48" s="3">
        <v>8.1999999999999993</v>
      </c>
      <c r="B48" s="3">
        <v>0.68130000000000002</v>
      </c>
      <c r="C48" s="3">
        <v>231.94</v>
      </c>
      <c r="D48" s="4">
        <f t="shared" si="1"/>
        <v>3.3783783783783781E-3</v>
      </c>
      <c r="E48" s="4">
        <f t="shared" si="2"/>
        <v>3.8656666666666668</v>
      </c>
    </row>
    <row r="49" spans="1:5" x14ac:dyDescent="0.55000000000000004">
      <c r="A49" s="3">
        <v>8.3000000000000007</v>
      </c>
      <c r="B49" s="3">
        <v>0.68959999999999999</v>
      </c>
      <c r="C49" s="3">
        <v>236.76999000000001</v>
      </c>
      <c r="D49" s="4">
        <f t="shared" si="1"/>
        <v>3.4531531531531525E-3</v>
      </c>
      <c r="E49" s="4">
        <f t="shared" si="2"/>
        <v>3.9461664999999999</v>
      </c>
    </row>
    <row r="50" spans="1:5" x14ac:dyDescent="0.55000000000000004">
      <c r="A50" s="3">
        <v>8.4</v>
      </c>
      <c r="B50" s="3">
        <v>0.69789999999999996</v>
      </c>
      <c r="C50" s="3">
        <v>241.6</v>
      </c>
      <c r="D50" s="4">
        <f t="shared" si="1"/>
        <v>3.5279279279279269E-3</v>
      </c>
      <c r="E50" s="4">
        <f t="shared" si="2"/>
        <v>4.0266666666666664</v>
      </c>
    </row>
    <row r="51" spans="1:5" x14ac:dyDescent="0.55000000000000004">
      <c r="A51" s="3">
        <v>8.5</v>
      </c>
      <c r="B51" s="3">
        <v>0.70630000000000004</v>
      </c>
      <c r="C51" s="3">
        <v>246.42999</v>
      </c>
      <c r="D51" s="4">
        <f t="shared" si="1"/>
        <v>3.6036036036036028E-3</v>
      </c>
      <c r="E51" s="4">
        <f t="shared" si="2"/>
        <v>4.1071664999999999</v>
      </c>
    </row>
    <row r="52" spans="1:5" x14ac:dyDescent="0.55000000000000004">
      <c r="A52" s="3">
        <v>8.6</v>
      </c>
      <c r="B52" s="3">
        <v>0.71460000000000001</v>
      </c>
      <c r="C52" s="3">
        <v>250.46001000000001</v>
      </c>
      <c r="D52" s="4">
        <f t="shared" si="1"/>
        <v>3.6783783783783781E-3</v>
      </c>
      <c r="E52" s="4">
        <f t="shared" si="2"/>
        <v>4.1743335000000004</v>
      </c>
    </row>
    <row r="53" spans="1:5" x14ac:dyDescent="0.55000000000000004">
      <c r="A53" s="3">
        <v>8.6999999999999993</v>
      </c>
      <c r="B53" s="3">
        <v>0.72289999999999999</v>
      </c>
      <c r="C53" s="3">
        <v>255.29</v>
      </c>
      <c r="D53" s="4">
        <f t="shared" si="1"/>
        <v>3.7531531531531524E-3</v>
      </c>
      <c r="E53" s="4">
        <f t="shared" si="2"/>
        <v>4.254833333333333</v>
      </c>
    </row>
    <row r="54" spans="1:5" x14ac:dyDescent="0.55000000000000004">
      <c r="A54" s="3">
        <v>8.8000000000000007</v>
      </c>
      <c r="B54" s="3">
        <v>0.73119999999999996</v>
      </c>
      <c r="C54" s="3">
        <v>260.11998999999997</v>
      </c>
      <c r="D54" s="4">
        <f t="shared" si="1"/>
        <v>3.8279279279279268E-3</v>
      </c>
      <c r="E54" s="4">
        <f t="shared" si="2"/>
        <v>4.3353331666666666</v>
      </c>
    </row>
    <row r="55" spans="1:5" x14ac:dyDescent="0.55000000000000004">
      <c r="A55" s="3">
        <v>8.9</v>
      </c>
      <c r="B55" s="3">
        <v>0.73960000000000004</v>
      </c>
      <c r="C55" s="3">
        <v>264.96001000000001</v>
      </c>
      <c r="D55" s="4">
        <f t="shared" si="1"/>
        <v>3.9036036036036036E-3</v>
      </c>
      <c r="E55" s="4">
        <f t="shared" si="2"/>
        <v>4.4160001666666666</v>
      </c>
    </row>
    <row r="56" spans="1:5" x14ac:dyDescent="0.55000000000000004">
      <c r="A56" s="3">
        <v>9</v>
      </c>
      <c r="B56" s="3">
        <v>0.74790000000000001</v>
      </c>
      <c r="C56" s="3">
        <v>269.78998999999999</v>
      </c>
      <c r="D56" s="4">
        <f t="shared" si="1"/>
        <v>3.9783783783783784E-3</v>
      </c>
      <c r="E56" s="4">
        <f t="shared" si="2"/>
        <v>4.496499833333333</v>
      </c>
    </row>
    <row r="57" spans="1:5" x14ac:dyDescent="0.55000000000000004">
      <c r="A57" s="3">
        <v>9.1</v>
      </c>
      <c r="B57" s="3">
        <v>0.75629999999999997</v>
      </c>
      <c r="C57" s="3">
        <v>273.81000999999998</v>
      </c>
      <c r="D57" s="4">
        <f t="shared" si="1"/>
        <v>4.0540540540540525E-3</v>
      </c>
      <c r="E57" s="4">
        <f t="shared" si="2"/>
        <v>4.5635001666666666</v>
      </c>
    </row>
    <row r="58" spans="1:5" x14ac:dyDescent="0.55000000000000004">
      <c r="A58" s="3">
        <v>9.1999999999999993</v>
      </c>
      <c r="B58" s="3">
        <v>0.76459999999999995</v>
      </c>
      <c r="C58" s="3">
        <v>278.64999999999998</v>
      </c>
      <c r="D58" s="4">
        <f t="shared" si="1"/>
        <v>4.1288288288288278E-3</v>
      </c>
      <c r="E58" s="4">
        <f t="shared" si="2"/>
        <v>4.6441666666666661</v>
      </c>
    </row>
    <row r="59" spans="1:5" x14ac:dyDescent="0.55000000000000004">
      <c r="A59" s="3">
        <v>9.3000000000000007</v>
      </c>
      <c r="B59" s="3">
        <v>0.77290000000000003</v>
      </c>
      <c r="C59" s="3">
        <v>283.47998999999999</v>
      </c>
      <c r="D59" s="4">
        <f t="shared" si="1"/>
        <v>4.2036036036036031E-3</v>
      </c>
      <c r="E59" s="4">
        <f t="shared" si="2"/>
        <v>4.7246664999999997</v>
      </c>
    </row>
    <row r="60" spans="1:5" x14ac:dyDescent="0.55000000000000004">
      <c r="A60" s="3">
        <v>9.4</v>
      </c>
      <c r="B60" s="3">
        <v>0.78129999999999999</v>
      </c>
      <c r="C60" s="3">
        <v>287.51001000000002</v>
      </c>
      <c r="D60" s="4">
        <f t="shared" si="1"/>
        <v>4.2792792792792789E-3</v>
      </c>
      <c r="E60" s="4">
        <f t="shared" si="2"/>
        <v>4.7918335000000001</v>
      </c>
    </row>
    <row r="61" spans="1:5" x14ac:dyDescent="0.55000000000000004">
      <c r="A61" s="3">
        <v>9.5</v>
      </c>
      <c r="B61" s="3">
        <v>0.78959999999999997</v>
      </c>
      <c r="C61" s="3">
        <v>293.13999000000001</v>
      </c>
      <c r="D61" s="4">
        <f t="shared" si="1"/>
        <v>4.3540540540540525E-3</v>
      </c>
      <c r="E61" s="4">
        <f t="shared" si="2"/>
        <v>4.8856665000000001</v>
      </c>
    </row>
    <row r="62" spans="1:5" x14ac:dyDescent="0.55000000000000004">
      <c r="A62" s="3">
        <v>9.6</v>
      </c>
      <c r="B62" s="3">
        <v>0.79790000000000005</v>
      </c>
      <c r="C62" s="3">
        <v>297.17000999999999</v>
      </c>
      <c r="D62" s="4">
        <f t="shared" si="1"/>
        <v>4.4288288288288277E-3</v>
      </c>
      <c r="E62" s="4">
        <f t="shared" si="2"/>
        <v>4.9528334999999997</v>
      </c>
    </row>
    <row r="63" spans="1:5" x14ac:dyDescent="0.55000000000000004">
      <c r="A63" s="3">
        <v>9.6999999999999993</v>
      </c>
      <c r="B63" s="3">
        <v>0.80620000000000003</v>
      </c>
      <c r="C63" s="3">
        <v>302</v>
      </c>
      <c r="D63" s="4">
        <f t="shared" si="1"/>
        <v>4.503603603603603E-3</v>
      </c>
      <c r="E63" s="4">
        <f t="shared" si="2"/>
        <v>5.0333333333333332</v>
      </c>
    </row>
    <row r="64" spans="1:5" x14ac:dyDescent="0.55000000000000004">
      <c r="A64" s="3">
        <v>9.8000000000000007</v>
      </c>
      <c r="B64" s="3">
        <v>0.81459999999999999</v>
      </c>
      <c r="C64" s="3">
        <v>306.02999</v>
      </c>
      <c r="D64" s="4">
        <f t="shared" si="1"/>
        <v>4.5792792792792789E-3</v>
      </c>
      <c r="E64" s="4">
        <f t="shared" si="2"/>
        <v>5.1004998333333331</v>
      </c>
    </row>
    <row r="65" spans="1:5" x14ac:dyDescent="0.55000000000000004">
      <c r="A65" s="3">
        <v>9.9</v>
      </c>
      <c r="B65" s="3">
        <v>0.82289999999999996</v>
      </c>
      <c r="C65" s="3">
        <v>310.86000999999999</v>
      </c>
      <c r="D65" s="4">
        <f t="shared" si="1"/>
        <v>4.6540540540540524E-3</v>
      </c>
      <c r="E65" s="4">
        <f t="shared" si="2"/>
        <v>5.1810001666666663</v>
      </c>
    </row>
    <row r="66" spans="1:5" x14ac:dyDescent="0.55000000000000004">
      <c r="A66" s="3">
        <v>10</v>
      </c>
      <c r="B66" s="3">
        <v>0.83120000000000005</v>
      </c>
      <c r="C66" s="3">
        <v>314.89</v>
      </c>
      <c r="D66" s="4">
        <f t="shared" si="1"/>
        <v>4.7288288288288294E-3</v>
      </c>
      <c r="E66" s="4">
        <f t="shared" si="2"/>
        <v>5.2481666666666662</v>
      </c>
    </row>
    <row r="67" spans="1:5" x14ac:dyDescent="0.55000000000000004">
      <c r="A67" s="3">
        <v>10.1</v>
      </c>
      <c r="B67" s="3">
        <v>0.83960000000000001</v>
      </c>
      <c r="C67" s="3">
        <v>319.72001</v>
      </c>
      <c r="D67" s="4">
        <f t="shared" si="1"/>
        <v>4.8045045045045035E-3</v>
      </c>
      <c r="E67" s="4">
        <f t="shared" si="2"/>
        <v>5.3286668333333331</v>
      </c>
    </row>
    <row r="68" spans="1:5" x14ac:dyDescent="0.55000000000000004">
      <c r="A68" s="3">
        <v>10.199999999999999</v>
      </c>
      <c r="B68" s="3">
        <v>0.84789999999999999</v>
      </c>
      <c r="C68" s="3">
        <v>324.55</v>
      </c>
      <c r="D68" s="4">
        <f t="shared" ref="D68:D131" si="3">((B68/$L$3))-0.00275945945945946</f>
        <v>4.8792792792792788E-3</v>
      </c>
      <c r="E68" s="4">
        <f t="shared" si="2"/>
        <v>5.4091666666666667</v>
      </c>
    </row>
    <row r="69" spans="1:5" x14ac:dyDescent="0.55000000000000004">
      <c r="A69" s="3">
        <v>10.3</v>
      </c>
      <c r="B69" s="3">
        <v>0.85629999999999995</v>
      </c>
      <c r="C69" s="3">
        <v>328.57999000000001</v>
      </c>
      <c r="D69" s="4">
        <f t="shared" si="3"/>
        <v>4.9549549549549529E-3</v>
      </c>
      <c r="E69" s="4">
        <f t="shared" si="2"/>
        <v>5.4763331666666666</v>
      </c>
    </row>
    <row r="70" spans="1:5" x14ac:dyDescent="0.55000000000000004">
      <c r="A70" s="3">
        <v>10.4</v>
      </c>
      <c r="B70" s="3">
        <v>0.86460000000000004</v>
      </c>
      <c r="C70" s="3">
        <v>332.61000999999999</v>
      </c>
      <c r="D70" s="4">
        <f t="shared" si="3"/>
        <v>5.0297297297297299E-3</v>
      </c>
      <c r="E70" s="4">
        <f t="shared" si="2"/>
        <v>5.5435001666666661</v>
      </c>
    </row>
    <row r="71" spans="1:5" x14ac:dyDescent="0.55000000000000004">
      <c r="A71" s="3">
        <v>10.5</v>
      </c>
      <c r="B71" s="3">
        <v>0.87290000000000001</v>
      </c>
      <c r="C71" s="3">
        <v>337.44</v>
      </c>
      <c r="D71" s="4">
        <f t="shared" si="3"/>
        <v>5.1045045045045034E-3</v>
      </c>
      <c r="E71" s="4">
        <f t="shared" si="2"/>
        <v>5.6239999999999997</v>
      </c>
    </row>
    <row r="72" spans="1:5" x14ac:dyDescent="0.55000000000000004">
      <c r="A72" s="3">
        <v>10.6</v>
      </c>
      <c r="B72" s="3">
        <v>0.88119999999999998</v>
      </c>
      <c r="C72" s="3">
        <v>341.45999</v>
      </c>
      <c r="D72" s="4">
        <f t="shared" si="3"/>
        <v>5.1792792792792787E-3</v>
      </c>
      <c r="E72" s="4">
        <f t="shared" si="2"/>
        <v>5.6909998333333336</v>
      </c>
    </row>
    <row r="73" spans="1:5" x14ac:dyDescent="0.55000000000000004">
      <c r="A73" s="3">
        <v>10.7</v>
      </c>
      <c r="B73" s="3">
        <v>0.88959999999999995</v>
      </c>
      <c r="C73" s="3">
        <v>346.30000999999999</v>
      </c>
      <c r="D73" s="4">
        <f t="shared" si="3"/>
        <v>5.2549549549549528E-3</v>
      </c>
      <c r="E73" s="4">
        <f t="shared" si="2"/>
        <v>5.7716668333333327</v>
      </c>
    </row>
    <row r="74" spans="1:5" x14ac:dyDescent="0.55000000000000004">
      <c r="A74" s="3">
        <v>10.8</v>
      </c>
      <c r="B74" s="3">
        <v>0.89790000000000003</v>
      </c>
      <c r="C74" s="3">
        <v>350.31999000000002</v>
      </c>
      <c r="D74" s="4">
        <f t="shared" si="3"/>
        <v>5.3297297297297281E-3</v>
      </c>
      <c r="E74" s="4">
        <f t="shared" si="2"/>
        <v>5.8386665000000004</v>
      </c>
    </row>
    <row r="75" spans="1:5" x14ac:dyDescent="0.55000000000000004">
      <c r="A75" s="3">
        <v>10.9</v>
      </c>
      <c r="B75" s="3">
        <v>0.90620000000000001</v>
      </c>
      <c r="C75" s="3">
        <v>355.16001</v>
      </c>
      <c r="D75" s="4">
        <f t="shared" si="3"/>
        <v>5.4045045045045034E-3</v>
      </c>
      <c r="E75" s="4">
        <f t="shared" si="2"/>
        <v>5.9193334999999996</v>
      </c>
    </row>
    <row r="76" spans="1:5" x14ac:dyDescent="0.55000000000000004">
      <c r="A76" s="3">
        <v>11</v>
      </c>
      <c r="B76" s="3">
        <v>0.91459999999999997</v>
      </c>
      <c r="C76" s="3">
        <v>358.38</v>
      </c>
      <c r="D76" s="4">
        <f t="shared" si="3"/>
        <v>5.4801801801801792E-3</v>
      </c>
      <c r="E76" s="4">
        <f t="shared" si="2"/>
        <v>5.9729999999999999</v>
      </c>
    </row>
    <row r="77" spans="1:5" x14ac:dyDescent="0.55000000000000004">
      <c r="A77" s="3">
        <v>11.1</v>
      </c>
      <c r="B77" s="3">
        <v>0.92290000000000005</v>
      </c>
      <c r="C77" s="3">
        <v>363.20999</v>
      </c>
      <c r="D77" s="4">
        <f t="shared" si="3"/>
        <v>5.5549549549549545E-3</v>
      </c>
      <c r="E77" s="4">
        <f t="shared" si="2"/>
        <v>6.0534998333333334</v>
      </c>
    </row>
    <row r="78" spans="1:5" x14ac:dyDescent="0.55000000000000004">
      <c r="A78" s="3">
        <v>11.2</v>
      </c>
      <c r="B78" s="3">
        <v>0.93130000000000002</v>
      </c>
      <c r="C78" s="3">
        <v>367.24000999999998</v>
      </c>
      <c r="D78" s="4">
        <f t="shared" si="3"/>
        <v>5.6306306306306304E-3</v>
      </c>
      <c r="E78" s="4">
        <f t="shared" si="2"/>
        <v>6.1206668333333329</v>
      </c>
    </row>
    <row r="79" spans="1:5" x14ac:dyDescent="0.55000000000000004">
      <c r="A79" s="3">
        <v>11.3</v>
      </c>
      <c r="B79" s="3">
        <v>0.93959999999999999</v>
      </c>
      <c r="C79" s="3">
        <v>371.26</v>
      </c>
      <c r="D79" s="4">
        <f t="shared" si="3"/>
        <v>5.7054054054054039E-3</v>
      </c>
      <c r="E79" s="4">
        <f t="shared" si="2"/>
        <v>6.1876666666666669</v>
      </c>
    </row>
    <row r="80" spans="1:5" x14ac:dyDescent="0.55000000000000004">
      <c r="A80" s="3">
        <v>11.4</v>
      </c>
      <c r="B80" s="3">
        <v>0.94789999999999996</v>
      </c>
      <c r="C80" s="3">
        <v>376.08999</v>
      </c>
      <c r="D80" s="4">
        <f t="shared" si="3"/>
        <v>5.7801801801801792E-3</v>
      </c>
      <c r="E80" s="4">
        <f t="shared" si="2"/>
        <v>6.2681665000000004</v>
      </c>
    </row>
    <row r="81" spans="1:5" x14ac:dyDescent="0.55000000000000004">
      <c r="A81" s="3">
        <v>11.5</v>
      </c>
      <c r="B81" s="3">
        <v>0.95620000000000005</v>
      </c>
      <c r="C81" s="3">
        <v>380.12000999999998</v>
      </c>
      <c r="D81" s="4">
        <f t="shared" si="3"/>
        <v>5.8549549549549544E-3</v>
      </c>
      <c r="E81" s="4">
        <f t="shared" si="2"/>
        <v>6.3353335</v>
      </c>
    </row>
    <row r="82" spans="1:5" x14ac:dyDescent="0.55000000000000004">
      <c r="A82" s="3">
        <v>11.6</v>
      </c>
      <c r="B82" s="3">
        <v>0.96460000000000001</v>
      </c>
      <c r="C82" s="3">
        <v>383.34</v>
      </c>
      <c r="D82" s="4">
        <f t="shared" si="3"/>
        <v>5.9306306306306303E-3</v>
      </c>
      <c r="E82" s="4">
        <f t="shared" si="2"/>
        <v>6.3889999999999993</v>
      </c>
    </row>
    <row r="83" spans="1:5" x14ac:dyDescent="0.55000000000000004">
      <c r="A83" s="3">
        <v>11.7</v>
      </c>
      <c r="B83" s="3">
        <v>0.97289999999999999</v>
      </c>
      <c r="C83" s="3">
        <v>388.16998999999998</v>
      </c>
      <c r="D83" s="4">
        <f t="shared" si="3"/>
        <v>6.0054054054054038E-3</v>
      </c>
      <c r="E83" s="4">
        <f t="shared" si="2"/>
        <v>6.4694998333333329</v>
      </c>
    </row>
    <row r="84" spans="1:5" x14ac:dyDescent="0.55000000000000004">
      <c r="A84" s="3">
        <v>11.8</v>
      </c>
      <c r="B84" s="3">
        <v>0.98119999999999996</v>
      </c>
      <c r="C84" s="3">
        <v>392.20001000000002</v>
      </c>
      <c r="D84" s="4">
        <f t="shared" si="3"/>
        <v>6.0801801801801791E-3</v>
      </c>
      <c r="E84" s="4">
        <f t="shared" si="2"/>
        <v>6.5366668333333333</v>
      </c>
    </row>
    <row r="85" spans="1:5" x14ac:dyDescent="0.55000000000000004">
      <c r="A85" s="3">
        <v>11.9</v>
      </c>
      <c r="B85" s="3">
        <v>0.98950000000000005</v>
      </c>
      <c r="C85" s="3">
        <v>396.23</v>
      </c>
      <c r="D85" s="4">
        <f t="shared" si="3"/>
        <v>6.1549549549549543E-3</v>
      </c>
      <c r="E85" s="4">
        <f t="shared" si="2"/>
        <v>6.6038333333333332</v>
      </c>
    </row>
    <row r="86" spans="1:5" x14ac:dyDescent="0.55000000000000004">
      <c r="A86" s="3">
        <v>12</v>
      </c>
      <c r="B86" s="3">
        <v>0.99790000000000001</v>
      </c>
      <c r="C86" s="3">
        <v>400.25000999999997</v>
      </c>
      <c r="D86" s="4">
        <f t="shared" si="3"/>
        <v>6.2306306306306302E-3</v>
      </c>
      <c r="E86" s="4">
        <f t="shared" si="2"/>
        <v>6.6708334999999996</v>
      </c>
    </row>
    <row r="87" spans="1:5" x14ac:dyDescent="0.55000000000000004">
      <c r="A87" s="3">
        <v>12.1</v>
      </c>
      <c r="B87" s="3">
        <v>1.0063</v>
      </c>
      <c r="C87" s="3">
        <v>404.28001</v>
      </c>
      <c r="D87" s="4">
        <f t="shared" si="3"/>
        <v>6.3063063063063043E-3</v>
      </c>
      <c r="E87" s="4">
        <f t="shared" si="2"/>
        <v>6.7380001666666667</v>
      </c>
    </row>
    <row r="88" spans="1:5" x14ac:dyDescent="0.55000000000000004">
      <c r="A88" s="3">
        <v>12.2</v>
      </c>
      <c r="B88" s="3">
        <v>1.0145999999999999</v>
      </c>
      <c r="C88" s="3">
        <v>408.31</v>
      </c>
      <c r="D88" s="4">
        <f t="shared" si="3"/>
        <v>6.3810810810810796E-3</v>
      </c>
      <c r="E88" s="4">
        <f t="shared" si="2"/>
        <v>6.8051666666666666</v>
      </c>
    </row>
    <row r="89" spans="1:5" x14ac:dyDescent="0.55000000000000004">
      <c r="A89" s="3">
        <v>12.3</v>
      </c>
      <c r="B89" s="3">
        <v>1.0228999999999999</v>
      </c>
      <c r="C89" s="3">
        <v>412.33999</v>
      </c>
      <c r="D89" s="4">
        <f t="shared" si="3"/>
        <v>6.4558558558558531E-3</v>
      </c>
      <c r="E89" s="4">
        <f t="shared" si="2"/>
        <v>6.8723331666666665</v>
      </c>
    </row>
    <row r="90" spans="1:5" x14ac:dyDescent="0.55000000000000004">
      <c r="A90" s="3">
        <v>12.4</v>
      </c>
      <c r="B90" s="3">
        <v>1.0311999999999999</v>
      </c>
      <c r="C90" s="3">
        <v>415.56000999999998</v>
      </c>
      <c r="D90" s="4">
        <f t="shared" si="3"/>
        <v>6.5306306306306284E-3</v>
      </c>
      <c r="E90" s="4">
        <f t="shared" si="2"/>
        <v>6.9260001666666664</v>
      </c>
    </row>
    <row r="91" spans="1:5" x14ac:dyDescent="0.55000000000000004">
      <c r="A91" s="3">
        <v>12.5</v>
      </c>
      <c r="B91" s="3">
        <v>1.0396000000000001</v>
      </c>
      <c r="C91" s="3">
        <v>419.58</v>
      </c>
      <c r="D91" s="4">
        <f t="shared" si="3"/>
        <v>6.606306306306306E-3</v>
      </c>
      <c r="E91" s="4">
        <f t="shared" si="2"/>
        <v>6.9929999999999994</v>
      </c>
    </row>
    <row r="92" spans="1:5" x14ac:dyDescent="0.55000000000000004">
      <c r="A92" s="3">
        <v>12.6</v>
      </c>
      <c r="B92" s="3">
        <v>1.0479000000000001</v>
      </c>
      <c r="C92" s="3">
        <v>423.60998999999998</v>
      </c>
      <c r="D92" s="4">
        <f t="shared" si="3"/>
        <v>6.6810810810810813E-3</v>
      </c>
      <c r="E92" s="4">
        <f t="shared" si="2"/>
        <v>7.0601664999999993</v>
      </c>
    </row>
    <row r="93" spans="1:5" x14ac:dyDescent="0.55000000000000004">
      <c r="A93" s="3">
        <v>12.7</v>
      </c>
      <c r="B93" s="3">
        <v>1.0562</v>
      </c>
      <c r="C93" s="3">
        <v>427.64001000000002</v>
      </c>
      <c r="D93" s="4">
        <f t="shared" si="3"/>
        <v>6.7558558558558548E-3</v>
      </c>
      <c r="E93" s="4">
        <f t="shared" si="2"/>
        <v>7.1273335000000007</v>
      </c>
    </row>
    <row r="94" spans="1:5" x14ac:dyDescent="0.55000000000000004">
      <c r="A94" s="3">
        <v>12.8</v>
      </c>
      <c r="B94" s="3">
        <v>1.0645</v>
      </c>
      <c r="C94" s="3">
        <v>430.86</v>
      </c>
      <c r="D94" s="4">
        <f t="shared" si="3"/>
        <v>6.83063063063063E-3</v>
      </c>
      <c r="E94" s="4">
        <f t="shared" ref="E94:E156" si="4">C94/$L$4</f>
        <v>7.181</v>
      </c>
    </row>
    <row r="95" spans="1:5" x14ac:dyDescent="0.55000000000000004">
      <c r="A95" s="3">
        <v>12.9</v>
      </c>
      <c r="B95" s="3">
        <v>1.0729</v>
      </c>
      <c r="C95" s="3">
        <v>434.88999000000001</v>
      </c>
      <c r="D95" s="4">
        <f t="shared" si="3"/>
        <v>6.9063063063063042E-3</v>
      </c>
      <c r="E95" s="4">
        <f t="shared" si="4"/>
        <v>7.2481665</v>
      </c>
    </row>
    <row r="96" spans="1:5" x14ac:dyDescent="0.55000000000000004">
      <c r="A96" s="3">
        <v>13</v>
      </c>
      <c r="B96" s="3">
        <v>1.0812999999999999</v>
      </c>
      <c r="C96" s="3">
        <v>438.11000999999999</v>
      </c>
      <c r="D96" s="4">
        <f t="shared" si="3"/>
        <v>6.9819819819819801E-3</v>
      </c>
      <c r="E96" s="4">
        <f t="shared" si="4"/>
        <v>7.3018334999999999</v>
      </c>
    </row>
    <row r="97" spans="1:5" x14ac:dyDescent="0.55000000000000004">
      <c r="A97" s="3">
        <v>13.1</v>
      </c>
      <c r="B97" s="3">
        <v>1.0895999999999999</v>
      </c>
      <c r="C97" s="3">
        <v>442.13</v>
      </c>
      <c r="D97" s="4">
        <f t="shared" si="3"/>
        <v>7.0567567567567553E-3</v>
      </c>
      <c r="E97" s="4">
        <f t="shared" si="4"/>
        <v>7.3688333333333329</v>
      </c>
    </row>
    <row r="98" spans="1:5" x14ac:dyDescent="0.55000000000000004">
      <c r="A98" s="3">
        <v>13.2</v>
      </c>
      <c r="B98" s="3">
        <v>1.0979000000000001</v>
      </c>
      <c r="C98" s="3">
        <v>446.15998999999999</v>
      </c>
      <c r="D98" s="4">
        <f t="shared" si="3"/>
        <v>7.1315315315315306E-3</v>
      </c>
      <c r="E98" s="4">
        <f t="shared" si="4"/>
        <v>7.4359998333333328</v>
      </c>
    </row>
    <row r="99" spans="1:5" x14ac:dyDescent="0.55000000000000004">
      <c r="A99" s="3">
        <v>13.3</v>
      </c>
      <c r="B99" s="3">
        <v>1.1062000000000001</v>
      </c>
      <c r="C99" s="3">
        <v>449.38001000000003</v>
      </c>
      <c r="D99" s="4">
        <f t="shared" si="3"/>
        <v>7.2063063063063058E-3</v>
      </c>
      <c r="E99" s="4">
        <f t="shared" si="4"/>
        <v>7.4896668333333336</v>
      </c>
    </row>
    <row r="100" spans="1:5" x14ac:dyDescent="0.55000000000000004">
      <c r="A100" s="3">
        <v>13.4</v>
      </c>
      <c r="B100" s="3">
        <v>1.1146</v>
      </c>
      <c r="C100" s="3">
        <v>453.41</v>
      </c>
      <c r="D100" s="4">
        <f t="shared" si="3"/>
        <v>7.2819819819819817E-3</v>
      </c>
      <c r="E100" s="4">
        <f t="shared" si="4"/>
        <v>7.5568333333333335</v>
      </c>
    </row>
    <row r="101" spans="1:5" x14ac:dyDescent="0.55000000000000004">
      <c r="A101" s="3">
        <v>13.5</v>
      </c>
      <c r="B101" s="3">
        <v>1.1229</v>
      </c>
      <c r="C101" s="3">
        <v>456.62999000000002</v>
      </c>
      <c r="D101" s="4">
        <f t="shared" si="3"/>
        <v>7.3567567567567552E-3</v>
      </c>
      <c r="E101" s="4">
        <f t="shared" si="4"/>
        <v>7.6104998333333338</v>
      </c>
    </row>
    <row r="102" spans="1:5" x14ac:dyDescent="0.55000000000000004">
      <c r="A102" s="3">
        <v>13.6</v>
      </c>
      <c r="B102" s="3">
        <v>1.1312</v>
      </c>
      <c r="C102" s="3">
        <v>459.85001</v>
      </c>
      <c r="D102" s="4">
        <f t="shared" si="3"/>
        <v>7.4315315315315305E-3</v>
      </c>
      <c r="E102" s="4">
        <f t="shared" si="4"/>
        <v>7.6641668333333337</v>
      </c>
    </row>
    <row r="103" spans="1:5" x14ac:dyDescent="0.55000000000000004">
      <c r="A103" s="3">
        <v>13.7</v>
      </c>
      <c r="B103" s="3">
        <v>1.1395</v>
      </c>
      <c r="C103" s="3">
        <v>463.07</v>
      </c>
      <c r="D103" s="4">
        <f t="shared" si="3"/>
        <v>7.506306306306304E-3</v>
      </c>
      <c r="E103" s="4">
        <f t="shared" si="4"/>
        <v>7.7178333333333331</v>
      </c>
    </row>
    <row r="104" spans="1:5" x14ac:dyDescent="0.55000000000000004">
      <c r="A104" s="3">
        <v>13.8</v>
      </c>
      <c r="B104" s="3">
        <v>1.1478999999999999</v>
      </c>
      <c r="C104" s="3">
        <v>467.09998999999999</v>
      </c>
      <c r="D104" s="4">
        <f t="shared" si="3"/>
        <v>7.5819819819819799E-3</v>
      </c>
      <c r="E104" s="4">
        <f t="shared" si="4"/>
        <v>7.784999833333333</v>
      </c>
    </row>
    <row r="105" spans="1:5" x14ac:dyDescent="0.55000000000000004">
      <c r="A105" s="3">
        <v>13.9</v>
      </c>
      <c r="B105" s="3">
        <v>1.1563000000000001</v>
      </c>
      <c r="C105" s="3">
        <v>470.31999000000002</v>
      </c>
      <c r="D105" s="4">
        <f t="shared" si="3"/>
        <v>7.6576576576576575E-3</v>
      </c>
      <c r="E105" s="4">
        <f t="shared" si="4"/>
        <v>7.8386665000000004</v>
      </c>
    </row>
    <row r="106" spans="1:5" x14ac:dyDescent="0.55000000000000004">
      <c r="A106" s="3">
        <v>14</v>
      </c>
      <c r="B106" s="3">
        <v>1.1646000000000001</v>
      </c>
      <c r="C106" s="3">
        <v>473.53998000000001</v>
      </c>
      <c r="D106" s="4">
        <f t="shared" si="3"/>
        <v>7.7324324324324328E-3</v>
      </c>
      <c r="E106" s="4">
        <f t="shared" si="4"/>
        <v>7.8923329999999998</v>
      </c>
    </row>
    <row r="107" spans="1:5" x14ac:dyDescent="0.55000000000000004">
      <c r="A107" s="3">
        <v>14.1</v>
      </c>
      <c r="B107" s="3">
        <v>1.1729000000000001</v>
      </c>
      <c r="C107" s="3">
        <v>476.76002999999997</v>
      </c>
      <c r="D107" s="4">
        <f t="shared" si="3"/>
        <v>7.8072072072072063E-3</v>
      </c>
      <c r="E107" s="4">
        <f t="shared" si="4"/>
        <v>7.9460004999999994</v>
      </c>
    </row>
    <row r="108" spans="1:5" x14ac:dyDescent="0.55000000000000004">
      <c r="A108" s="3">
        <v>14.2</v>
      </c>
      <c r="B108" s="3">
        <v>1.1812</v>
      </c>
      <c r="C108" s="3">
        <v>480.78998999999999</v>
      </c>
      <c r="D108" s="4">
        <f t="shared" si="3"/>
        <v>7.8819819819819815E-3</v>
      </c>
      <c r="E108" s="4">
        <f t="shared" si="4"/>
        <v>8.0131665000000005</v>
      </c>
    </row>
    <row r="109" spans="1:5" x14ac:dyDescent="0.55000000000000004">
      <c r="A109" s="3">
        <v>14.3</v>
      </c>
      <c r="B109" s="3">
        <v>1.1896</v>
      </c>
      <c r="C109" s="3">
        <v>483.21001000000001</v>
      </c>
      <c r="D109" s="4">
        <f t="shared" si="3"/>
        <v>7.9576576576576557E-3</v>
      </c>
      <c r="E109" s="4">
        <f t="shared" si="4"/>
        <v>8.0535001666666677</v>
      </c>
    </row>
    <row r="110" spans="1:5" x14ac:dyDescent="0.55000000000000004">
      <c r="A110" s="3">
        <v>14.4</v>
      </c>
      <c r="B110" s="3">
        <v>1.1979</v>
      </c>
      <c r="C110" s="3">
        <v>487.22996999999998</v>
      </c>
      <c r="D110" s="4">
        <f t="shared" si="3"/>
        <v>8.0324324324324309E-3</v>
      </c>
      <c r="E110" s="4">
        <f t="shared" si="4"/>
        <v>8.1204994999999993</v>
      </c>
    </row>
    <row r="111" spans="1:5" x14ac:dyDescent="0.55000000000000004">
      <c r="A111" s="3">
        <v>14.5</v>
      </c>
      <c r="B111" s="3">
        <v>1.2061999999999999</v>
      </c>
      <c r="C111" s="3">
        <v>489.65</v>
      </c>
      <c r="D111" s="4">
        <f t="shared" si="3"/>
        <v>8.1072072072072062E-3</v>
      </c>
      <c r="E111" s="4">
        <f t="shared" si="4"/>
        <v>8.1608333333333327</v>
      </c>
    </row>
    <row r="112" spans="1:5" x14ac:dyDescent="0.55000000000000004">
      <c r="A112" s="3">
        <v>14.6</v>
      </c>
      <c r="B112" s="3">
        <v>1.2144999999999999</v>
      </c>
      <c r="C112" s="3">
        <v>493.68002000000001</v>
      </c>
      <c r="D112" s="4">
        <f t="shared" si="3"/>
        <v>8.1819819819819797E-3</v>
      </c>
      <c r="E112" s="4">
        <f t="shared" si="4"/>
        <v>8.228000333333334</v>
      </c>
    </row>
    <row r="113" spans="1:5" x14ac:dyDescent="0.55000000000000004">
      <c r="A113" s="3">
        <v>14.7</v>
      </c>
      <c r="B113" s="3">
        <v>1.2229000000000001</v>
      </c>
      <c r="C113" s="3">
        <v>496.08998000000003</v>
      </c>
      <c r="D113" s="4">
        <f t="shared" si="3"/>
        <v>8.2576576576576573E-3</v>
      </c>
      <c r="E113" s="4">
        <f t="shared" si="4"/>
        <v>8.2681663333333333</v>
      </c>
    </row>
    <row r="114" spans="1:5" x14ac:dyDescent="0.55000000000000004">
      <c r="A114" s="3">
        <v>14.8</v>
      </c>
      <c r="B114" s="3">
        <v>1.2313000000000001</v>
      </c>
      <c r="C114" s="3">
        <v>499.31002999999998</v>
      </c>
      <c r="D114" s="4">
        <f t="shared" si="3"/>
        <v>8.3333333333333332E-3</v>
      </c>
      <c r="E114" s="4">
        <f t="shared" si="4"/>
        <v>8.3218338333333328</v>
      </c>
    </row>
    <row r="115" spans="1:5" x14ac:dyDescent="0.55000000000000004">
      <c r="A115" s="3">
        <v>14.9</v>
      </c>
      <c r="B115" s="3">
        <v>1.2396</v>
      </c>
      <c r="C115" s="3">
        <v>502.53001999999998</v>
      </c>
      <c r="D115" s="4">
        <f t="shared" si="3"/>
        <v>8.4081081081081067E-3</v>
      </c>
      <c r="E115" s="4">
        <f t="shared" si="4"/>
        <v>8.3755003333333331</v>
      </c>
    </row>
    <row r="116" spans="1:5" x14ac:dyDescent="0.55000000000000004">
      <c r="A116" s="3">
        <v>15</v>
      </c>
      <c r="B116" s="3">
        <v>1.2479</v>
      </c>
      <c r="C116" s="3">
        <v>505.76001000000002</v>
      </c>
      <c r="D116" s="4">
        <f t="shared" si="3"/>
        <v>8.482882882882882E-3</v>
      </c>
      <c r="E116" s="4">
        <f t="shared" si="4"/>
        <v>8.4293335000000003</v>
      </c>
    </row>
    <row r="117" spans="1:5" x14ac:dyDescent="0.55000000000000004">
      <c r="A117" s="3">
        <v>15.1</v>
      </c>
      <c r="B117" s="3">
        <v>1.2562</v>
      </c>
      <c r="C117" s="3">
        <v>508.16998000000001</v>
      </c>
      <c r="D117" s="4">
        <f t="shared" si="3"/>
        <v>8.5576576576576555E-3</v>
      </c>
      <c r="E117" s="4">
        <f t="shared" si="4"/>
        <v>8.4694996666666675</v>
      </c>
    </row>
    <row r="118" spans="1:5" x14ac:dyDescent="0.55000000000000004">
      <c r="A118" s="3">
        <v>15.2</v>
      </c>
      <c r="B118" s="3">
        <v>1.2645999999999999</v>
      </c>
      <c r="C118" s="3">
        <v>511.39003000000002</v>
      </c>
      <c r="D118" s="4">
        <f t="shared" si="3"/>
        <v>8.6333333333333314E-3</v>
      </c>
      <c r="E118" s="4">
        <f t="shared" si="4"/>
        <v>8.5231671666666671</v>
      </c>
    </row>
    <row r="119" spans="1:5" x14ac:dyDescent="0.55000000000000004">
      <c r="A119" s="3">
        <v>15.3</v>
      </c>
      <c r="B119" s="3">
        <v>1.2728999999999999</v>
      </c>
      <c r="C119" s="3">
        <v>514.61001999999996</v>
      </c>
      <c r="D119" s="4">
        <f t="shared" si="3"/>
        <v>8.7081081081081067E-3</v>
      </c>
      <c r="E119" s="4">
        <f t="shared" si="4"/>
        <v>8.5768336666666656</v>
      </c>
    </row>
    <row r="120" spans="1:5" x14ac:dyDescent="0.55000000000000004">
      <c r="A120" s="3">
        <v>15.4</v>
      </c>
      <c r="B120" s="3">
        <v>1.2811999999999999</v>
      </c>
      <c r="C120" s="3">
        <v>517.02999</v>
      </c>
      <c r="D120" s="4">
        <f t="shared" si="3"/>
        <v>8.7828828828828802E-3</v>
      </c>
      <c r="E120" s="4">
        <f t="shared" si="4"/>
        <v>8.6171664999999997</v>
      </c>
    </row>
    <row r="121" spans="1:5" x14ac:dyDescent="0.55000000000000004">
      <c r="A121" s="3">
        <v>15.5</v>
      </c>
      <c r="B121" s="3">
        <v>1.2895000000000001</v>
      </c>
      <c r="C121" s="3">
        <v>519.45001000000002</v>
      </c>
      <c r="D121" s="4">
        <f t="shared" si="3"/>
        <v>8.8576576576576572E-3</v>
      </c>
      <c r="E121" s="4">
        <f t="shared" si="4"/>
        <v>8.6575001666666669</v>
      </c>
    </row>
    <row r="122" spans="1:5" x14ac:dyDescent="0.55000000000000004">
      <c r="A122" s="3">
        <v>15.6</v>
      </c>
      <c r="B122" s="3">
        <v>1.2979000000000001</v>
      </c>
      <c r="C122" s="3">
        <v>522.66999999999996</v>
      </c>
      <c r="D122" s="4">
        <f t="shared" si="3"/>
        <v>8.9333333333333331E-3</v>
      </c>
      <c r="E122" s="4">
        <f t="shared" si="4"/>
        <v>8.7111666666666654</v>
      </c>
    </row>
    <row r="123" spans="1:5" x14ac:dyDescent="0.55000000000000004">
      <c r="A123" s="3">
        <v>15.7</v>
      </c>
      <c r="B123" s="3">
        <v>1.3063</v>
      </c>
      <c r="C123" s="3">
        <v>525.08001999999999</v>
      </c>
      <c r="D123" s="4">
        <f t="shared" si="3"/>
        <v>9.0090090090090072E-3</v>
      </c>
      <c r="E123" s="4">
        <f t="shared" si="4"/>
        <v>8.7513336666666657</v>
      </c>
    </row>
    <row r="124" spans="1:5" x14ac:dyDescent="0.55000000000000004">
      <c r="A124" s="3">
        <v>15.8</v>
      </c>
      <c r="B124" s="3">
        <v>1.3146</v>
      </c>
      <c r="C124" s="3">
        <v>528.31002000000001</v>
      </c>
      <c r="D124" s="4">
        <f t="shared" si="3"/>
        <v>9.0837837837837825E-3</v>
      </c>
      <c r="E124" s="4">
        <f t="shared" si="4"/>
        <v>8.8051670000000009</v>
      </c>
    </row>
    <row r="125" spans="1:5" x14ac:dyDescent="0.55000000000000004">
      <c r="A125" s="3">
        <v>15.9</v>
      </c>
      <c r="B125" s="3">
        <v>1.3229</v>
      </c>
      <c r="C125" s="3">
        <v>530.71997999999996</v>
      </c>
      <c r="D125" s="4">
        <f t="shared" si="3"/>
        <v>9.1585585585585577E-3</v>
      </c>
      <c r="E125" s="4">
        <f t="shared" si="4"/>
        <v>8.8453330000000001</v>
      </c>
    </row>
    <row r="126" spans="1:5" x14ac:dyDescent="0.55000000000000004">
      <c r="A126" s="3">
        <v>16</v>
      </c>
      <c r="B126" s="3">
        <v>1.3311999999999999</v>
      </c>
      <c r="C126" s="3">
        <v>533.14</v>
      </c>
      <c r="D126" s="4">
        <f t="shared" si="3"/>
        <v>9.2333333333333312E-3</v>
      </c>
      <c r="E126" s="4">
        <f t="shared" si="4"/>
        <v>8.8856666666666673</v>
      </c>
    </row>
    <row r="127" spans="1:5" x14ac:dyDescent="0.55000000000000004">
      <c r="A127" s="3">
        <v>16.100000000000001</v>
      </c>
      <c r="B127" s="3">
        <v>1.3395999999999999</v>
      </c>
      <c r="C127" s="3">
        <v>535.55002000000002</v>
      </c>
      <c r="D127" s="4">
        <f t="shared" si="3"/>
        <v>9.3090090090090071E-3</v>
      </c>
      <c r="E127" s="4">
        <f t="shared" si="4"/>
        <v>8.9258336666666676</v>
      </c>
    </row>
    <row r="128" spans="1:5" x14ac:dyDescent="0.55000000000000004">
      <c r="A128" s="3">
        <v>16.2</v>
      </c>
      <c r="B128" s="3">
        <v>1.3479000000000001</v>
      </c>
      <c r="C128" s="3">
        <v>537.96999000000005</v>
      </c>
      <c r="D128" s="4">
        <f t="shared" si="3"/>
        <v>9.3837837837837841E-3</v>
      </c>
      <c r="E128" s="4">
        <f t="shared" si="4"/>
        <v>8.9661665000000017</v>
      </c>
    </row>
    <row r="129" spans="1:5" x14ac:dyDescent="0.55000000000000004">
      <c r="A129" s="3">
        <v>16.3</v>
      </c>
      <c r="B129" s="3">
        <v>1.3562000000000001</v>
      </c>
      <c r="C129" s="3">
        <v>540.39000999999996</v>
      </c>
      <c r="D129" s="4">
        <f t="shared" si="3"/>
        <v>9.4585585585585576E-3</v>
      </c>
      <c r="E129" s="4">
        <f t="shared" si="4"/>
        <v>9.0065001666666653</v>
      </c>
    </row>
    <row r="130" spans="1:5" x14ac:dyDescent="0.55000000000000004">
      <c r="A130" s="3">
        <v>16.399999999999999</v>
      </c>
      <c r="B130" s="3">
        <v>1.3645</v>
      </c>
      <c r="C130" s="3">
        <v>542.79998000000001</v>
      </c>
      <c r="D130" s="4">
        <f t="shared" si="3"/>
        <v>9.5333333333333329E-3</v>
      </c>
      <c r="E130" s="4">
        <f t="shared" si="4"/>
        <v>9.0466663333333326</v>
      </c>
    </row>
    <row r="131" spans="1:5" x14ac:dyDescent="0.55000000000000004">
      <c r="A131" s="3">
        <v>16.5</v>
      </c>
      <c r="B131" s="3">
        <v>1.3729</v>
      </c>
      <c r="C131" s="3">
        <v>544.40998000000002</v>
      </c>
      <c r="D131" s="4">
        <f t="shared" si="3"/>
        <v>9.6090090090090088E-3</v>
      </c>
      <c r="E131" s="4">
        <f t="shared" si="4"/>
        <v>9.0734996666666667</v>
      </c>
    </row>
    <row r="132" spans="1:5" x14ac:dyDescent="0.55000000000000004">
      <c r="A132" s="3">
        <v>16.600000000000001</v>
      </c>
      <c r="B132" s="3">
        <v>1.3813</v>
      </c>
      <c r="C132" s="3">
        <v>546.83000000000004</v>
      </c>
      <c r="D132" s="4">
        <f t="shared" ref="D132:D156" si="5">((B132/$L$3))-0.00275945945945946</f>
        <v>9.6846846846846829E-3</v>
      </c>
      <c r="E132" s="4">
        <f t="shared" si="4"/>
        <v>9.1138333333333339</v>
      </c>
    </row>
    <row r="133" spans="1:5" x14ac:dyDescent="0.55000000000000004">
      <c r="A133" s="3">
        <v>16.7</v>
      </c>
      <c r="B133" s="3">
        <v>1.3895999999999999</v>
      </c>
      <c r="C133" s="3">
        <v>548.43998999999997</v>
      </c>
      <c r="D133" s="4">
        <f t="shared" si="5"/>
        <v>9.7594594594594582E-3</v>
      </c>
      <c r="E133" s="4">
        <f t="shared" si="4"/>
        <v>9.1406665</v>
      </c>
    </row>
    <row r="134" spans="1:5" x14ac:dyDescent="0.55000000000000004">
      <c r="A134" s="3">
        <v>16.8</v>
      </c>
      <c r="B134" s="3">
        <v>1.3978999999999999</v>
      </c>
      <c r="C134" s="3">
        <v>550.86001999999996</v>
      </c>
      <c r="D134" s="4">
        <f t="shared" si="5"/>
        <v>9.8342342342342317E-3</v>
      </c>
      <c r="E134" s="4">
        <f t="shared" si="4"/>
        <v>9.1810003333333334</v>
      </c>
    </row>
    <row r="135" spans="1:5" x14ac:dyDescent="0.55000000000000004">
      <c r="A135" s="3">
        <v>16.899999999999999</v>
      </c>
      <c r="B135" s="3">
        <v>1.4061999999999999</v>
      </c>
      <c r="C135" s="3">
        <v>552.47001</v>
      </c>
      <c r="D135" s="4">
        <f t="shared" si="5"/>
        <v>9.909009009009007E-3</v>
      </c>
      <c r="E135" s="4">
        <f t="shared" si="4"/>
        <v>9.2078334999999996</v>
      </c>
    </row>
    <row r="136" spans="1:5" x14ac:dyDescent="0.55000000000000004">
      <c r="A136" s="3">
        <v>17</v>
      </c>
      <c r="B136" s="3">
        <v>1.4146000000000001</v>
      </c>
      <c r="C136" s="3">
        <v>554.08001000000002</v>
      </c>
      <c r="D136" s="4">
        <f t="shared" si="5"/>
        <v>9.9846846846846846E-3</v>
      </c>
      <c r="E136" s="4">
        <f t="shared" si="4"/>
        <v>9.2346668333333337</v>
      </c>
    </row>
    <row r="137" spans="1:5" x14ac:dyDescent="0.55000000000000004">
      <c r="A137" s="3">
        <v>17.100000000000001</v>
      </c>
      <c r="B137" s="3">
        <v>1.4229000000000001</v>
      </c>
      <c r="C137" s="3">
        <v>555.69001000000003</v>
      </c>
      <c r="D137" s="4">
        <f t="shared" si="5"/>
        <v>1.0059459459459458E-2</v>
      </c>
      <c r="E137" s="4">
        <f t="shared" si="4"/>
        <v>9.2615001666666679</v>
      </c>
    </row>
    <row r="138" spans="1:5" x14ac:dyDescent="0.55000000000000004">
      <c r="A138" s="3">
        <v>17.2</v>
      </c>
      <c r="B138" s="3">
        <v>1.4312</v>
      </c>
      <c r="C138" s="3">
        <v>557.29999999999995</v>
      </c>
      <c r="D138" s="4">
        <f t="shared" si="5"/>
        <v>1.0134234234234233E-2</v>
      </c>
      <c r="E138" s="4">
        <f t="shared" si="4"/>
        <v>9.2883333333333322</v>
      </c>
    </row>
    <row r="139" spans="1:5" x14ac:dyDescent="0.55000000000000004">
      <c r="A139" s="3">
        <v>17.3</v>
      </c>
      <c r="B139" s="3">
        <v>1.4395</v>
      </c>
      <c r="C139" s="3">
        <v>558.91</v>
      </c>
      <c r="D139" s="4">
        <f t="shared" si="5"/>
        <v>1.0209009009009009E-2</v>
      </c>
      <c r="E139" s="4">
        <f t="shared" si="4"/>
        <v>9.3151666666666664</v>
      </c>
    </row>
    <row r="140" spans="1:5" x14ac:dyDescent="0.55000000000000004">
      <c r="A140" s="3">
        <v>17.399999999999999</v>
      </c>
      <c r="B140" s="3">
        <v>1.4479</v>
      </c>
      <c r="C140" s="3">
        <v>560.51999000000001</v>
      </c>
      <c r="D140" s="4">
        <f t="shared" si="5"/>
        <v>1.0284684684684683E-2</v>
      </c>
      <c r="E140" s="4">
        <f t="shared" si="4"/>
        <v>9.3419998333333343</v>
      </c>
    </row>
    <row r="141" spans="1:5" x14ac:dyDescent="0.55000000000000004">
      <c r="A141" s="3">
        <v>17.5</v>
      </c>
      <c r="B141" s="3">
        <v>1.4562999999999999</v>
      </c>
      <c r="C141" s="3">
        <v>561.33001999999999</v>
      </c>
      <c r="D141" s="4">
        <f t="shared" si="5"/>
        <v>1.0360360360360359E-2</v>
      </c>
      <c r="E141" s="4">
        <f t="shared" si="4"/>
        <v>9.3555003333333335</v>
      </c>
    </row>
    <row r="142" spans="1:5" x14ac:dyDescent="0.55000000000000004">
      <c r="A142" s="3">
        <v>17.600000000000001</v>
      </c>
      <c r="B142" s="3">
        <v>1.4645999999999999</v>
      </c>
      <c r="C142" s="3">
        <v>562.12999000000002</v>
      </c>
      <c r="D142" s="4">
        <f t="shared" si="5"/>
        <v>1.0435135135135134E-2</v>
      </c>
      <c r="E142" s="4">
        <f t="shared" si="4"/>
        <v>9.3688331666666667</v>
      </c>
    </row>
    <row r="143" spans="1:5" x14ac:dyDescent="0.55000000000000004">
      <c r="A143" s="3">
        <v>17.7</v>
      </c>
      <c r="B143" s="3">
        <v>1.4729000000000001</v>
      </c>
      <c r="C143" s="3">
        <v>562.94002</v>
      </c>
      <c r="D143" s="4">
        <f t="shared" si="5"/>
        <v>1.0509909909909909E-2</v>
      </c>
      <c r="E143" s="4">
        <f t="shared" si="4"/>
        <v>9.3823336666666659</v>
      </c>
    </row>
    <row r="144" spans="1:5" x14ac:dyDescent="0.55000000000000004">
      <c r="A144" s="3">
        <v>17.8</v>
      </c>
      <c r="B144" s="3">
        <v>1.4812000000000001</v>
      </c>
      <c r="C144" s="3">
        <v>564.55001000000004</v>
      </c>
      <c r="D144" s="4">
        <f t="shared" si="5"/>
        <v>1.0584684684684684E-2</v>
      </c>
      <c r="E144" s="4">
        <f t="shared" si="4"/>
        <v>9.4091668333333338</v>
      </c>
    </row>
    <row r="145" spans="1:5" x14ac:dyDescent="0.55000000000000004">
      <c r="A145" s="3">
        <v>17.899999999999999</v>
      </c>
      <c r="B145" s="3">
        <v>1.4896</v>
      </c>
      <c r="C145" s="3">
        <v>564.55001000000004</v>
      </c>
      <c r="D145" s="4">
        <f t="shared" si="5"/>
        <v>1.066036036036036E-2</v>
      </c>
      <c r="E145" s="4">
        <f t="shared" si="4"/>
        <v>9.4091668333333338</v>
      </c>
    </row>
    <row r="146" spans="1:5" x14ac:dyDescent="0.55000000000000004">
      <c r="A146" s="3">
        <v>18</v>
      </c>
      <c r="B146" s="3">
        <v>1.4979</v>
      </c>
      <c r="C146" s="3">
        <v>565.34997999999996</v>
      </c>
      <c r="D146" s="4">
        <f t="shared" si="5"/>
        <v>1.0735135135135134E-2</v>
      </c>
      <c r="E146" s="4">
        <f t="shared" si="4"/>
        <v>9.4224996666666652</v>
      </c>
    </row>
    <row r="147" spans="1:5" x14ac:dyDescent="0.55000000000000004">
      <c r="A147" s="3">
        <v>18.100000000000001</v>
      </c>
      <c r="B147" s="3">
        <v>1.5062</v>
      </c>
      <c r="C147" s="3">
        <v>564.55001000000004</v>
      </c>
      <c r="D147" s="4">
        <f t="shared" si="5"/>
        <v>1.0809909909909909E-2</v>
      </c>
      <c r="E147" s="4">
        <f t="shared" si="4"/>
        <v>9.4091668333333338</v>
      </c>
    </row>
    <row r="148" spans="1:5" x14ac:dyDescent="0.55000000000000004">
      <c r="A148" s="3">
        <v>18.2</v>
      </c>
      <c r="B148" s="3">
        <v>1.5145</v>
      </c>
      <c r="C148" s="3">
        <v>564.55001000000004</v>
      </c>
      <c r="D148" s="4">
        <f t="shared" si="5"/>
        <v>1.0884684684684683E-2</v>
      </c>
      <c r="E148" s="4">
        <f t="shared" si="4"/>
        <v>9.4091668333333338</v>
      </c>
    </row>
    <row r="149" spans="1:5" x14ac:dyDescent="0.55000000000000004">
      <c r="A149" s="3">
        <v>18.3</v>
      </c>
      <c r="B149" s="3">
        <v>1.5228999999999999</v>
      </c>
      <c r="C149" s="3">
        <v>564.55001000000004</v>
      </c>
      <c r="D149" s="4">
        <f t="shared" si="5"/>
        <v>1.0960360360360358E-2</v>
      </c>
      <c r="E149" s="4">
        <f t="shared" si="4"/>
        <v>9.4091668333333338</v>
      </c>
    </row>
    <row r="150" spans="1:5" x14ac:dyDescent="0.55000000000000004">
      <c r="A150" s="3">
        <v>18.399999999999999</v>
      </c>
      <c r="B150" s="3">
        <v>1.5311999999999999</v>
      </c>
      <c r="C150" s="3">
        <v>563.73999000000003</v>
      </c>
      <c r="D150" s="4">
        <f t="shared" si="5"/>
        <v>1.1035135135135134E-2</v>
      </c>
      <c r="E150" s="4">
        <f t="shared" si="4"/>
        <v>9.3956665000000008</v>
      </c>
    </row>
    <row r="151" spans="1:5" x14ac:dyDescent="0.55000000000000004">
      <c r="A151" s="3">
        <v>18.5</v>
      </c>
      <c r="B151" s="3">
        <v>1.5396000000000001</v>
      </c>
      <c r="C151" s="3">
        <v>562.12999000000002</v>
      </c>
      <c r="D151" s="4">
        <f t="shared" si="5"/>
        <v>1.111081081081081E-2</v>
      </c>
      <c r="E151" s="4">
        <f t="shared" si="4"/>
        <v>9.3688331666666667</v>
      </c>
    </row>
    <row r="152" spans="1:5" x14ac:dyDescent="0.55000000000000004">
      <c r="A152" s="3">
        <v>18.600000000000001</v>
      </c>
      <c r="B152" s="3">
        <v>1.5479000000000001</v>
      </c>
      <c r="C152" s="3">
        <v>560.51999000000001</v>
      </c>
      <c r="D152" s="4">
        <f t="shared" si="5"/>
        <v>1.1185585585585585E-2</v>
      </c>
      <c r="E152" s="4">
        <f t="shared" si="4"/>
        <v>9.3419998333333343</v>
      </c>
    </row>
    <row r="153" spans="1:5" x14ac:dyDescent="0.55000000000000004">
      <c r="A153" s="3">
        <v>18.7</v>
      </c>
      <c r="B153" s="3">
        <v>1.5562</v>
      </c>
      <c r="C153" s="3">
        <v>557.29999999999995</v>
      </c>
      <c r="D153" s="4">
        <f t="shared" si="5"/>
        <v>1.126036036036036E-2</v>
      </c>
      <c r="E153" s="4">
        <f t="shared" si="4"/>
        <v>9.2883333333333322</v>
      </c>
    </row>
    <row r="154" spans="1:5" x14ac:dyDescent="0.55000000000000004">
      <c r="A154" s="3">
        <v>18.8</v>
      </c>
      <c r="B154" s="3">
        <v>1.5646</v>
      </c>
      <c r="C154" s="3">
        <v>552.47001</v>
      </c>
      <c r="D154" s="4">
        <f t="shared" si="5"/>
        <v>1.1336036036036034E-2</v>
      </c>
      <c r="E154" s="4">
        <f t="shared" si="4"/>
        <v>9.2078334999999996</v>
      </c>
    </row>
    <row r="155" spans="1:5" x14ac:dyDescent="0.55000000000000004">
      <c r="D155" s="4"/>
      <c r="E155" s="4"/>
    </row>
    <row r="156" spans="1:5" x14ac:dyDescent="0.55000000000000004">
      <c r="D156" s="4"/>
      <c r="E156" s="4"/>
    </row>
    <row r="157" spans="1:5" x14ac:dyDescent="0.55000000000000004">
      <c r="D157" s="4"/>
      <c r="E157" s="4"/>
    </row>
    <row r="158" spans="1:5" x14ac:dyDescent="0.55000000000000004">
      <c r="D158" s="4"/>
      <c r="E158" s="4"/>
    </row>
    <row r="159" spans="1:5" x14ac:dyDescent="0.55000000000000004">
      <c r="D159" s="4"/>
      <c r="E159" s="4"/>
    </row>
    <row r="160" spans="1:5" x14ac:dyDescent="0.55000000000000004">
      <c r="D160" s="4"/>
      <c r="E160" s="4"/>
    </row>
    <row r="161" spans="4:5" x14ac:dyDescent="0.55000000000000004">
      <c r="D161" s="4"/>
      <c r="E161" s="4"/>
    </row>
    <row r="162" spans="4:5" x14ac:dyDescent="0.55000000000000004">
      <c r="D162" s="4"/>
      <c r="E162" s="4"/>
    </row>
    <row r="163" spans="4:5" x14ac:dyDescent="0.55000000000000004">
      <c r="D163" s="4"/>
      <c r="E163" s="4"/>
    </row>
    <row r="164" spans="4:5" x14ac:dyDescent="0.55000000000000004">
      <c r="D164" s="4"/>
      <c r="E164" s="4"/>
    </row>
    <row r="165" spans="4:5" x14ac:dyDescent="0.55000000000000004">
      <c r="D165" s="4"/>
      <c r="E165" s="4"/>
    </row>
    <row r="166" spans="4:5" x14ac:dyDescent="0.55000000000000004">
      <c r="D166" s="4"/>
      <c r="E166" s="4"/>
    </row>
    <row r="167" spans="4:5" x14ac:dyDescent="0.55000000000000004">
      <c r="D167" s="4"/>
      <c r="E167" s="4"/>
    </row>
    <row r="168" spans="4:5" x14ac:dyDescent="0.55000000000000004">
      <c r="D168" s="4"/>
      <c r="E168" s="4"/>
    </row>
    <row r="169" spans="4:5" x14ac:dyDescent="0.55000000000000004">
      <c r="D169" s="4"/>
      <c r="E169" s="4"/>
    </row>
    <row r="170" spans="4:5" x14ac:dyDescent="0.55000000000000004">
      <c r="D170" s="4"/>
      <c r="E170" s="4"/>
    </row>
    <row r="171" spans="4:5" x14ac:dyDescent="0.55000000000000004">
      <c r="D171" s="4"/>
      <c r="E171" s="4"/>
    </row>
    <row r="172" spans="4:5" x14ac:dyDescent="0.55000000000000004">
      <c r="D172" s="4"/>
      <c r="E172" s="4"/>
    </row>
    <row r="173" spans="4:5" x14ac:dyDescent="0.55000000000000004">
      <c r="D173" s="4"/>
      <c r="E173" s="4"/>
    </row>
    <row r="174" spans="4:5" x14ac:dyDescent="0.55000000000000004">
      <c r="D174" s="4"/>
      <c r="E174" s="4"/>
    </row>
    <row r="175" spans="4:5" x14ac:dyDescent="0.55000000000000004">
      <c r="D175" s="4"/>
      <c r="E175" s="4"/>
    </row>
    <row r="176" spans="4:5" x14ac:dyDescent="0.55000000000000004">
      <c r="D176" s="4"/>
      <c r="E176" s="4"/>
    </row>
    <row r="177" spans="4:5" x14ac:dyDescent="0.55000000000000004">
      <c r="D177" s="4"/>
      <c r="E177" s="4"/>
    </row>
    <row r="178" spans="4:5" x14ac:dyDescent="0.55000000000000004">
      <c r="D178" s="4"/>
      <c r="E178" s="4"/>
    </row>
    <row r="179" spans="4:5" x14ac:dyDescent="0.55000000000000004">
      <c r="D179" s="4"/>
      <c r="E179" s="4"/>
    </row>
    <row r="180" spans="4:5" x14ac:dyDescent="0.55000000000000004">
      <c r="D180" s="4"/>
      <c r="E180" s="4"/>
    </row>
    <row r="181" spans="4:5" x14ac:dyDescent="0.55000000000000004">
      <c r="D181" s="4"/>
      <c r="E181" s="4"/>
    </row>
    <row r="182" spans="4:5" x14ac:dyDescent="0.55000000000000004">
      <c r="D182" s="4"/>
      <c r="E182" s="4"/>
    </row>
    <row r="183" spans="4:5" x14ac:dyDescent="0.55000000000000004">
      <c r="D183" s="4"/>
      <c r="E183" s="4"/>
    </row>
    <row r="184" spans="4:5" x14ac:dyDescent="0.55000000000000004">
      <c r="D184" s="4"/>
      <c r="E184" s="4"/>
    </row>
    <row r="185" spans="4:5" x14ac:dyDescent="0.55000000000000004">
      <c r="D185" s="4"/>
      <c r="E185" s="4"/>
    </row>
    <row r="186" spans="4:5" x14ac:dyDescent="0.55000000000000004">
      <c r="D186" s="4"/>
      <c r="E186" s="4"/>
    </row>
    <row r="187" spans="4:5" x14ac:dyDescent="0.55000000000000004">
      <c r="D187" s="4"/>
      <c r="E187" s="4"/>
    </row>
    <row r="188" spans="4:5" x14ac:dyDescent="0.55000000000000004">
      <c r="D188" s="4"/>
      <c r="E188" s="4"/>
    </row>
    <row r="189" spans="4:5" x14ac:dyDescent="0.55000000000000004">
      <c r="D189" s="4"/>
      <c r="E189" s="4"/>
    </row>
    <row r="190" spans="4:5" x14ac:dyDescent="0.55000000000000004">
      <c r="D190" s="4"/>
      <c r="E190" s="4"/>
    </row>
    <row r="191" spans="4:5" x14ac:dyDescent="0.55000000000000004">
      <c r="D191" s="4"/>
      <c r="E191" s="4"/>
    </row>
    <row r="192" spans="4:5" x14ac:dyDescent="0.55000000000000004">
      <c r="D192" s="4"/>
      <c r="E192" s="4"/>
    </row>
    <row r="193" spans="4:5" x14ac:dyDescent="0.55000000000000004">
      <c r="D193" s="4"/>
      <c r="E193" s="4"/>
    </row>
    <row r="194" spans="4:5" x14ac:dyDescent="0.55000000000000004">
      <c r="D194" s="4"/>
      <c r="E194" s="4"/>
    </row>
    <row r="195" spans="4:5" x14ac:dyDescent="0.55000000000000004">
      <c r="D195" s="4"/>
      <c r="E195" s="4"/>
    </row>
    <row r="196" spans="4:5" x14ac:dyDescent="0.55000000000000004">
      <c r="D196" s="4"/>
      <c r="E196" s="4"/>
    </row>
    <row r="197" spans="4:5" x14ac:dyDescent="0.55000000000000004">
      <c r="D197" s="4"/>
      <c r="E197" s="4"/>
    </row>
    <row r="198" spans="4:5" x14ac:dyDescent="0.55000000000000004">
      <c r="D198" s="4"/>
      <c r="E198" s="4"/>
    </row>
    <row r="199" spans="4:5" x14ac:dyDescent="0.55000000000000004">
      <c r="D199" s="4"/>
      <c r="E199" s="4"/>
    </row>
    <row r="200" spans="4:5" x14ac:dyDescent="0.55000000000000004">
      <c r="D200" s="4"/>
      <c r="E200" s="4"/>
    </row>
    <row r="201" spans="4:5" x14ac:dyDescent="0.55000000000000004">
      <c r="D201" s="4"/>
      <c r="E201" s="4"/>
    </row>
    <row r="202" spans="4:5" x14ac:dyDescent="0.55000000000000004">
      <c r="D202" s="4"/>
      <c r="E202" s="4"/>
    </row>
    <row r="203" spans="4:5" x14ac:dyDescent="0.55000000000000004">
      <c r="D203" s="4"/>
      <c r="E203" s="4"/>
    </row>
    <row r="204" spans="4:5" x14ac:dyDescent="0.55000000000000004">
      <c r="D204" s="4"/>
      <c r="E204" s="4"/>
    </row>
    <row r="205" spans="4:5" x14ac:dyDescent="0.55000000000000004">
      <c r="D205" s="4"/>
      <c r="E205" s="4"/>
    </row>
    <row r="206" spans="4:5" x14ac:dyDescent="0.55000000000000004">
      <c r="D206" s="4"/>
      <c r="E206" s="4"/>
    </row>
    <row r="207" spans="4:5" x14ac:dyDescent="0.55000000000000004">
      <c r="D207" s="4"/>
      <c r="E207" s="4"/>
    </row>
    <row r="208" spans="4:5" x14ac:dyDescent="0.55000000000000004">
      <c r="D208" s="4"/>
      <c r="E208" s="4"/>
    </row>
    <row r="209" spans="4:5" x14ac:dyDescent="0.55000000000000004">
      <c r="D209" s="4"/>
      <c r="E209" s="4"/>
    </row>
    <row r="210" spans="4:5" x14ac:dyDescent="0.55000000000000004">
      <c r="D210" s="4"/>
      <c r="E210" s="4"/>
    </row>
    <row r="211" spans="4:5" x14ac:dyDescent="0.55000000000000004">
      <c r="D211" s="4"/>
      <c r="E211" s="4"/>
    </row>
    <row r="212" spans="4:5" x14ac:dyDescent="0.55000000000000004">
      <c r="D212" s="4"/>
      <c r="E212" s="4"/>
    </row>
    <row r="213" spans="4:5" x14ac:dyDescent="0.55000000000000004">
      <c r="D213" s="4"/>
      <c r="E213" s="4"/>
    </row>
    <row r="214" spans="4:5" x14ac:dyDescent="0.55000000000000004">
      <c r="D214" s="4"/>
      <c r="E214" s="4"/>
    </row>
    <row r="215" spans="4:5" x14ac:dyDescent="0.55000000000000004">
      <c r="D215" s="4"/>
      <c r="E215" s="4"/>
    </row>
    <row r="216" spans="4:5" x14ac:dyDescent="0.55000000000000004">
      <c r="D216" s="4"/>
      <c r="E216" s="4"/>
    </row>
    <row r="217" spans="4:5" x14ac:dyDescent="0.55000000000000004">
      <c r="D217" s="4"/>
      <c r="E217" s="4"/>
    </row>
    <row r="218" spans="4:5" x14ac:dyDescent="0.55000000000000004">
      <c r="D218" s="4"/>
      <c r="E218" s="4"/>
    </row>
    <row r="219" spans="4:5" x14ac:dyDescent="0.55000000000000004">
      <c r="D219" s="4"/>
      <c r="E219" s="4"/>
    </row>
    <row r="220" spans="4:5" x14ac:dyDescent="0.55000000000000004">
      <c r="D220" s="4"/>
      <c r="E220" s="4"/>
    </row>
    <row r="221" spans="4:5" x14ac:dyDescent="0.55000000000000004">
      <c r="D221" s="4"/>
      <c r="E221" s="4"/>
    </row>
    <row r="222" spans="4:5" x14ac:dyDescent="0.55000000000000004">
      <c r="D222" s="4"/>
      <c r="E222" s="4"/>
    </row>
    <row r="223" spans="4:5" x14ac:dyDescent="0.55000000000000004">
      <c r="D223" s="4"/>
      <c r="E223" s="4"/>
    </row>
    <row r="224" spans="4:5" x14ac:dyDescent="0.55000000000000004">
      <c r="D224" s="4"/>
      <c r="E224" s="4"/>
    </row>
    <row r="225" spans="4:5" x14ac:dyDescent="0.55000000000000004">
      <c r="D225" s="4"/>
      <c r="E225" s="4"/>
    </row>
    <row r="226" spans="4:5" x14ac:dyDescent="0.55000000000000004">
      <c r="D226" s="4"/>
      <c r="E226" s="4"/>
    </row>
    <row r="227" spans="4:5" x14ac:dyDescent="0.55000000000000004">
      <c r="D227" s="4"/>
      <c r="E227" s="4"/>
    </row>
    <row r="228" spans="4:5" x14ac:dyDescent="0.55000000000000004">
      <c r="D228" s="4"/>
      <c r="E228" s="4"/>
    </row>
    <row r="229" spans="4:5" x14ac:dyDescent="0.55000000000000004">
      <c r="D229" s="4"/>
      <c r="E229" s="4"/>
    </row>
    <row r="230" spans="4:5" x14ac:dyDescent="0.55000000000000004">
      <c r="D230" s="4"/>
      <c r="E230" s="4"/>
    </row>
    <row r="231" spans="4:5" x14ac:dyDescent="0.55000000000000004">
      <c r="D231" s="4"/>
      <c r="E231" s="4"/>
    </row>
    <row r="232" spans="4:5" x14ac:dyDescent="0.55000000000000004">
      <c r="D232" s="4"/>
      <c r="E232" s="4"/>
    </row>
    <row r="233" spans="4:5" x14ac:dyDescent="0.55000000000000004">
      <c r="D233" s="4"/>
      <c r="E233" s="4"/>
    </row>
    <row r="234" spans="4:5" x14ac:dyDescent="0.55000000000000004">
      <c r="D234" s="4"/>
      <c r="E234" s="4"/>
    </row>
    <row r="235" spans="4:5" x14ac:dyDescent="0.55000000000000004">
      <c r="D235" s="4"/>
      <c r="E235" s="4"/>
    </row>
    <row r="236" spans="4:5" x14ac:dyDescent="0.55000000000000004">
      <c r="D236" s="4"/>
      <c r="E236" s="4"/>
    </row>
    <row r="237" spans="4:5" x14ac:dyDescent="0.55000000000000004">
      <c r="D237" s="4"/>
      <c r="E237" s="4"/>
    </row>
    <row r="238" spans="4:5" x14ac:dyDescent="0.55000000000000004">
      <c r="D238" s="4"/>
      <c r="E238" s="4"/>
    </row>
    <row r="239" spans="4:5" x14ac:dyDescent="0.55000000000000004">
      <c r="D239" s="4"/>
      <c r="E239" s="4"/>
    </row>
    <row r="240" spans="4:5" x14ac:dyDescent="0.55000000000000004">
      <c r="D240" s="4"/>
      <c r="E240" s="4"/>
    </row>
    <row r="241" spans="4:5" x14ac:dyDescent="0.55000000000000004">
      <c r="D241" s="4"/>
      <c r="E241" s="4"/>
    </row>
    <row r="242" spans="4:5" x14ac:dyDescent="0.55000000000000004">
      <c r="D242" s="4"/>
      <c r="E242" s="4"/>
    </row>
    <row r="243" spans="4:5" x14ac:dyDescent="0.55000000000000004">
      <c r="D243" s="4"/>
      <c r="E243" s="4"/>
    </row>
    <row r="244" spans="4:5" x14ac:dyDescent="0.55000000000000004">
      <c r="D244" s="4"/>
      <c r="E244" s="4"/>
    </row>
    <row r="245" spans="4:5" x14ac:dyDescent="0.55000000000000004">
      <c r="D245" s="4"/>
      <c r="E245" s="4"/>
    </row>
    <row r="246" spans="4:5" x14ac:dyDescent="0.55000000000000004">
      <c r="D246" s="4"/>
      <c r="E246" s="4"/>
    </row>
    <row r="247" spans="4:5" x14ac:dyDescent="0.55000000000000004">
      <c r="D247" s="4"/>
      <c r="E247" s="4"/>
    </row>
    <row r="248" spans="4:5" x14ac:dyDescent="0.55000000000000004">
      <c r="D248" s="4"/>
      <c r="E248" s="4"/>
    </row>
    <row r="249" spans="4:5" x14ac:dyDescent="0.55000000000000004">
      <c r="D249" s="4"/>
      <c r="E249" s="4"/>
    </row>
    <row r="250" spans="4:5" x14ac:dyDescent="0.55000000000000004">
      <c r="D250" s="4"/>
      <c r="E250" s="4"/>
    </row>
    <row r="251" spans="4:5" x14ac:dyDescent="0.55000000000000004">
      <c r="D251" s="4"/>
      <c r="E251" s="4"/>
    </row>
    <row r="252" spans="4:5" x14ac:dyDescent="0.55000000000000004">
      <c r="D252" s="4"/>
      <c r="E252" s="4"/>
    </row>
    <row r="253" spans="4:5" x14ac:dyDescent="0.55000000000000004">
      <c r="D253" s="4"/>
      <c r="E253" s="4"/>
    </row>
    <row r="254" spans="4:5" x14ac:dyDescent="0.55000000000000004">
      <c r="D254" s="4"/>
      <c r="E254" s="4"/>
    </row>
    <row r="255" spans="4:5" x14ac:dyDescent="0.55000000000000004">
      <c r="D255" s="4"/>
      <c r="E255" s="4"/>
    </row>
    <row r="256" spans="4:5" x14ac:dyDescent="0.55000000000000004">
      <c r="D256" s="4"/>
      <c r="E256" s="4"/>
    </row>
    <row r="257" spans="4:5" x14ac:dyDescent="0.55000000000000004">
      <c r="D257" s="4"/>
      <c r="E257" s="4"/>
    </row>
    <row r="258" spans="4:5" x14ac:dyDescent="0.55000000000000004">
      <c r="D258" s="4"/>
      <c r="E258" s="4"/>
    </row>
    <row r="259" spans="4:5" x14ac:dyDescent="0.55000000000000004">
      <c r="D259" s="4"/>
      <c r="E259" s="4"/>
    </row>
    <row r="260" spans="4:5" x14ac:dyDescent="0.55000000000000004">
      <c r="D260" s="4"/>
      <c r="E260" s="4"/>
    </row>
    <row r="261" spans="4:5" x14ac:dyDescent="0.55000000000000004">
      <c r="D261" s="4"/>
      <c r="E261" s="4"/>
    </row>
    <row r="262" spans="4:5" x14ac:dyDescent="0.55000000000000004">
      <c r="D262" s="4"/>
      <c r="E262" s="4"/>
    </row>
    <row r="263" spans="4:5" x14ac:dyDescent="0.55000000000000004">
      <c r="D263" s="4"/>
      <c r="E263" s="4"/>
    </row>
    <row r="264" spans="4:5" x14ac:dyDescent="0.55000000000000004">
      <c r="D264" s="4"/>
      <c r="E264" s="4"/>
    </row>
    <row r="265" spans="4:5" x14ac:dyDescent="0.55000000000000004">
      <c r="D265" s="4"/>
      <c r="E265" s="4"/>
    </row>
    <row r="266" spans="4:5" x14ac:dyDescent="0.55000000000000004">
      <c r="D266" s="4"/>
      <c r="E266" s="4"/>
    </row>
    <row r="267" spans="4:5" x14ac:dyDescent="0.55000000000000004">
      <c r="D267" s="4"/>
      <c r="E267" s="4"/>
    </row>
    <row r="268" spans="4:5" x14ac:dyDescent="0.55000000000000004">
      <c r="D268" s="4"/>
      <c r="E268" s="4"/>
    </row>
    <row r="269" spans="4:5" x14ac:dyDescent="0.55000000000000004">
      <c r="D269" s="4"/>
      <c r="E269" s="4"/>
    </row>
    <row r="270" spans="4:5" x14ac:dyDescent="0.55000000000000004">
      <c r="D270" s="4"/>
      <c r="E270" s="4"/>
    </row>
    <row r="271" spans="4:5" x14ac:dyDescent="0.55000000000000004">
      <c r="D271" s="4"/>
      <c r="E271" s="4"/>
    </row>
    <row r="272" spans="4:5" x14ac:dyDescent="0.55000000000000004">
      <c r="D272" s="4"/>
      <c r="E272" s="4"/>
    </row>
    <row r="273" spans="4:5" x14ac:dyDescent="0.55000000000000004">
      <c r="D273" s="4"/>
      <c r="E273" s="4"/>
    </row>
    <row r="274" spans="4:5" x14ac:dyDescent="0.55000000000000004">
      <c r="D274" s="4"/>
      <c r="E274" s="4"/>
    </row>
    <row r="275" spans="4:5" x14ac:dyDescent="0.55000000000000004">
      <c r="D275" s="4"/>
      <c r="E275" s="4"/>
    </row>
    <row r="276" spans="4:5" x14ac:dyDescent="0.55000000000000004">
      <c r="D276" s="4"/>
      <c r="E276" s="4"/>
    </row>
    <row r="277" spans="4:5" x14ac:dyDescent="0.55000000000000004">
      <c r="D277" s="4"/>
      <c r="E277" s="4"/>
    </row>
    <row r="278" spans="4:5" x14ac:dyDescent="0.55000000000000004">
      <c r="D278" s="4"/>
      <c r="E278" s="4"/>
    </row>
    <row r="279" spans="4:5" x14ac:dyDescent="0.55000000000000004">
      <c r="D279" s="4"/>
      <c r="E279" s="4"/>
    </row>
    <row r="280" spans="4:5" x14ac:dyDescent="0.55000000000000004">
      <c r="D280" s="4"/>
      <c r="E280" s="4"/>
    </row>
    <row r="281" spans="4:5" x14ac:dyDescent="0.55000000000000004">
      <c r="D281" s="4"/>
      <c r="E281" s="4"/>
    </row>
    <row r="282" spans="4:5" x14ac:dyDescent="0.55000000000000004">
      <c r="D282" s="4"/>
      <c r="E282" s="4"/>
    </row>
    <row r="283" spans="4:5" x14ac:dyDescent="0.55000000000000004">
      <c r="D283" s="4"/>
      <c r="E283" s="4"/>
    </row>
    <row r="284" spans="4:5" x14ac:dyDescent="0.55000000000000004">
      <c r="D284" s="4"/>
      <c r="E284" s="4"/>
    </row>
    <row r="285" spans="4:5" x14ac:dyDescent="0.55000000000000004">
      <c r="D285" s="4"/>
      <c r="E285" s="4"/>
    </row>
    <row r="286" spans="4:5" x14ac:dyDescent="0.55000000000000004">
      <c r="D286" s="4"/>
      <c r="E286" s="4"/>
    </row>
    <row r="287" spans="4:5" x14ac:dyDescent="0.55000000000000004">
      <c r="D287" s="4"/>
      <c r="E287" s="4"/>
    </row>
    <row r="288" spans="4:5" x14ac:dyDescent="0.55000000000000004">
      <c r="D288" s="4"/>
      <c r="E288" s="4"/>
    </row>
    <row r="289" spans="4:5" x14ac:dyDescent="0.55000000000000004">
      <c r="D289" s="4"/>
      <c r="E289" s="4"/>
    </row>
    <row r="290" spans="4:5" x14ac:dyDescent="0.55000000000000004">
      <c r="D290" s="4"/>
      <c r="E290" s="4"/>
    </row>
    <row r="291" spans="4:5" x14ac:dyDescent="0.55000000000000004">
      <c r="D291" s="4"/>
      <c r="E291" s="4"/>
    </row>
    <row r="292" spans="4:5" x14ac:dyDescent="0.55000000000000004">
      <c r="D292" s="4"/>
      <c r="E292" s="4"/>
    </row>
    <row r="293" spans="4:5" x14ac:dyDescent="0.55000000000000004">
      <c r="D293" s="4"/>
      <c r="E293" s="4"/>
    </row>
    <row r="294" spans="4:5" x14ac:dyDescent="0.55000000000000004">
      <c r="D294" s="4"/>
      <c r="E294" s="4"/>
    </row>
    <row r="295" spans="4:5" x14ac:dyDescent="0.55000000000000004">
      <c r="D295" s="4"/>
      <c r="E295" s="4"/>
    </row>
    <row r="296" spans="4:5" x14ac:dyDescent="0.55000000000000004">
      <c r="D296" s="4"/>
      <c r="E296" s="4"/>
    </row>
    <row r="297" spans="4:5" x14ac:dyDescent="0.55000000000000004">
      <c r="D297" s="4"/>
      <c r="E297" s="4"/>
    </row>
    <row r="298" spans="4:5" x14ac:dyDescent="0.55000000000000004">
      <c r="D298" s="4"/>
      <c r="E298" s="4"/>
    </row>
    <row r="299" spans="4:5" x14ac:dyDescent="0.55000000000000004">
      <c r="D299" s="4"/>
      <c r="E299" s="4"/>
    </row>
    <row r="300" spans="4:5" x14ac:dyDescent="0.55000000000000004">
      <c r="D300" s="4"/>
      <c r="E300" s="4"/>
    </row>
    <row r="301" spans="4:5" x14ac:dyDescent="0.55000000000000004">
      <c r="D301" s="4"/>
      <c r="E301" s="4"/>
    </row>
    <row r="302" spans="4:5" x14ac:dyDescent="0.55000000000000004">
      <c r="D302" s="4"/>
      <c r="E302" s="4"/>
    </row>
    <row r="303" spans="4:5" x14ac:dyDescent="0.55000000000000004">
      <c r="D303" s="4"/>
      <c r="E303" s="4"/>
    </row>
    <row r="304" spans="4:5" x14ac:dyDescent="0.55000000000000004">
      <c r="D304" s="4"/>
      <c r="E304" s="4"/>
    </row>
    <row r="305" spans="4:5" x14ac:dyDescent="0.55000000000000004">
      <c r="D305" s="4"/>
      <c r="E305" s="4"/>
    </row>
    <row r="306" spans="4:5" x14ac:dyDescent="0.55000000000000004">
      <c r="D306" s="4"/>
      <c r="E306" s="4"/>
    </row>
    <row r="307" spans="4:5" x14ac:dyDescent="0.55000000000000004">
      <c r="D307" s="4"/>
      <c r="E307" s="4"/>
    </row>
    <row r="308" spans="4:5" x14ac:dyDescent="0.55000000000000004">
      <c r="D308" s="4"/>
      <c r="E308" s="4"/>
    </row>
    <row r="309" spans="4:5" x14ac:dyDescent="0.55000000000000004">
      <c r="D309" s="4"/>
      <c r="E309" s="4"/>
    </row>
    <row r="310" spans="4:5" x14ac:dyDescent="0.55000000000000004">
      <c r="D310" s="4"/>
      <c r="E310" s="4"/>
    </row>
    <row r="311" spans="4:5" x14ac:dyDescent="0.55000000000000004">
      <c r="D311" s="4"/>
      <c r="E311" s="4"/>
    </row>
    <row r="312" spans="4:5" x14ac:dyDescent="0.55000000000000004">
      <c r="D312" s="4"/>
      <c r="E312" s="4"/>
    </row>
    <row r="313" spans="4:5" x14ac:dyDescent="0.55000000000000004">
      <c r="D313" s="4"/>
      <c r="E313" s="4"/>
    </row>
    <row r="314" spans="4:5" x14ac:dyDescent="0.55000000000000004">
      <c r="D314" s="4"/>
      <c r="E314" s="4"/>
    </row>
    <row r="315" spans="4:5" x14ac:dyDescent="0.55000000000000004">
      <c r="D315" s="4"/>
      <c r="E315" s="4"/>
    </row>
    <row r="316" spans="4:5" x14ac:dyDescent="0.55000000000000004">
      <c r="D316" s="4"/>
      <c r="E316" s="4"/>
    </row>
    <row r="317" spans="4:5" x14ac:dyDescent="0.55000000000000004">
      <c r="D317" s="4"/>
      <c r="E317" s="4"/>
    </row>
    <row r="318" spans="4:5" x14ac:dyDescent="0.55000000000000004">
      <c r="D318" s="4"/>
      <c r="E318" s="4"/>
    </row>
    <row r="319" spans="4:5" x14ac:dyDescent="0.55000000000000004">
      <c r="D319" s="4"/>
      <c r="E319" s="4"/>
    </row>
    <row r="320" spans="4:5" x14ac:dyDescent="0.55000000000000004">
      <c r="D320" s="4"/>
      <c r="E320" s="4"/>
    </row>
    <row r="321" spans="4:5" x14ac:dyDescent="0.55000000000000004">
      <c r="D321" s="4"/>
      <c r="E321" s="4"/>
    </row>
    <row r="322" spans="4:5" x14ac:dyDescent="0.55000000000000004">
      <c r="D322" s="4"/>
      <c r="E322" s="4"/>
    </row>
    <row r="323" spans="4:5" x14ac:dyDescent="0.55000000000000004">
      <c r="D323" s="4"/>
      <c r="E323" s="4"/>
    </row>
    <row r="324" spans="4:5" x14ac:dyDescent="0.55000000000000004">
      <c r="D324" s="4"/>
      <c r="E324" s="4"/>
    </row>
    <row r="325" spans="4:5" x14ac:dyDescent="0.55000000000000004">
      <c r="D325" s="4"/>
      <c r="E325" s="4"/>
    </row>
    <row r="326" spans="4:5" x14ac:dyDescent="0.55000000000000004">
      <c r="D326" s="4"/>
      <c r="E326" s="4"/>
    </row>
    <row r="327" spans="4:5" x14ac:dyDescent="0.55000000000000004">
      <c r="D327" s="4"/>
      <c r="E327" s="4"/>
    </row>
    <row r="328" spans="4:5" x14ac:dyDescent="0.55000000000000004">
      <c r="D328" s="4"/>
      <c r="E328" s="4"/>
    </row>
    <row r="329" spans="4:5" x14ac:dyDescent="0.55000000000000004">
      <c r="D329" s="4"/>
      <c r="E329" s="4"/>
    </row>
    <row r="330" spans="4:5" x14ac:dyDescent="0.55000000000000004">
      <c r="D330" s="4"/>
      <c r="E330" s="4"/>
    </row>
    <row r="331" spans="4:5" x14ac:dyDescent="0.55000000000000004">
      <c r="D331" s="4"/>
      <c r="E331" s="4"/>
    </row>
    <row r="332" spans="4:5" x14ac:dyDescent="0.55000000000000004">
      <c r="D332" s="4"/>
      <c r="E332" s="4"/>
    </row>
    <row r="333" spans="4:5" x14ac:dyDescent="0.55000000000000004">
      <c r="D333" s="4"/>
      <c r="E333" s="4"/>
    </row>
    <row r="334" spans="4:5" x14ac:dyDescent="0.55000000000000004">
      <c r="D334" s="4"/>
      <c r="E334" s="4"/>
    </row>
    <row r="335" spans="4:5" x14ac:dyDescent="0.55000000000000004">
      <c r="D335" s="4"/>
      <c r="E335" s="4"/>
    </row>
  </sheetData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3EEA92-3C1C-4262-A8BE-17F0A6BF5B30}">
  <dimension ref="A1:M334"/>
  <sheetViews>
    <sheetView workbookViewId="0">
      <selection activeCell="H24" sqref="H24"/>
    </sheetView>
  </sheetViews>
  <sheetFormatPr defaultRowHeight="14.4" x14ac:dyDescent="0.55000000000000004"/>
  <cols>
    <col min="1" max="3" width="8.83984375" style="3"/>
    <col min="4" max="4" width="11.20703125" customWidth="1"/>
    <col min="5" max="5" width="6.89453125" customWidth="1"/>
  </cols>
  <sheetData>
    <row r="1" spans="1:13" x14ac:dyDescent="0.55000000000000004">
      <c r="A1" s="3" t="s">
        <v>0</v>
      </c>
      <c r="B1" s="3" t="s">
        <v>1</v>
      </c>
      <c r="C1" s="3" t="s">
        <v>2</v>
      </c>
      <c r="D1" s="4" t="s">
        <v>3</v>
      </c>
      <c r="E1" s="4" t="s">
        <v>17</v>
      </c>
    </row>
    <row r="2" spans="1:13" x14ac:dyDescent="0.55000000000000004">
      <c r="A2" s="3" t="s">
        <v>4</v>
      </c>
      <c r="B2" s="3" t="s">
        <v>5</v>
      </c>
      <c r="C2" s="3" t="s">
        <v>6</v>
      </c>
      <c r="D2" s="4" t="s">
        <v>7</v>
      </c>
      <c r="E2" s="4" t="s">
        <v>16</v>
      </c>
    </row>
    <row r="3" spans="1:13" x14ac:dyDescent="0.55000000000000004">
      <c r="A3" s="3">
        <v>3.8</v>
      </c>
      <c r="B3" s="3">
        <v>0.31440000000000001</v>
      </c>
      <c r="C3" s="3">
        <v>28.99</v>
      </c>
      <c r="D3" s="4">
        <f>((B3/$L$3))-0.00283243243243243</f>
        <v>0</v>
      </c>
      <c r="E3" s="4">
        <f t="shared" ref="E3:E28" si="0">C3/$L$4</f>
        <v>0.48316666666666663</v>
      </c>
      <c r="K3" t="s">
        <v>15</v>
      </c>
      <c r="L3">
        <v>111</v>
      </c>
      <c r="M3" t="s">
        <v>9</v>
      </c>
    </row>
    <row r="4" spans="1:13" x14ac:dyDescent="0.55000000000000004">
      <c r="A4" s="3">
        <v>3.9</v>
      </c>
      <c r="B4" s="3">
        <v>0.32279999999999998</v>
      </c>
      <c r="C4" s="3">
        <v>33.82</v>
      </c>
      <c r="D4" s="4">
        <f t="shared" ref="D4:D67" si="1">((B4/$L$3))-0.00283243243243243</f>
        <v>7.5675675675678043E-5</v>
      </c>
      <c r="E4" s="4">
        <f t="shared" si="0"/>
        <v>0.56366666666666665</v>
      </c>
      <c r="K4" t="s">
        <v>14</v>
      </c>
      <c r="L4">
        <f>10*6</f>
        <v>60</v>
      </c>
      <c r="M4" t="s">
        <v>13</v>
      </c>
    </row>
    <row r="5" spans="1:13" x14ac:dyDescent="0.55000000000000004">
      <c r="A5" s="3">
        <v>4</v>
      </c>
      <c r="B5" s="3">
        <v>0.33110000000000001</v>
      </c>
      <c r="C5" s="3">
        <v>38.65</v>
      </c>
      <c r="D5" s="4">
        <f t="shared" si="1"/>
        <v>1.5045045045045287E-4</v>
      </c>
      <c r="E5" s="4">
        <f t="shared" si="0"/>
        <v>0.64416666666666667</v>
      </c>
    </row>
    <row r="6" spans="1:13" x14ac:dyDescent="0.55000000000000004">
      <c r="A6" s="3">
        <v>4.0999999999999996</v>
      </c>
      <c r="B6" s="3">
        <v>0.33939999999999998</v>
      </c>
      <c r="C6" s="3">
        <v>42.68</v>
      </c>
      <c r="D6" s="4">
        <f t="shared" si="1"/>
        <v>2.252252252252277E-4</v>
      </c>
      <c r="E6" s="4">
        <f t="shared" si="0"/>
        <v>0.71133333333333337</v>
      </c>
    </row>
    <row r="7" spans="1:13" x14ac:dyDescent="0.55000000000000004">
      <c r="A7" s="3">
        <v>4.2</v>
      </c>
      <c r="B7" s="3">
        <v>0.34770000000000001</v>
      </c>
      <c r="C7" s="3">
        <v>48.32</v>
      </c>
      <c r="D7" s="4">
        <f t="shared" si="1"/>
        <v>3.0000000000000252E-4</v>
      </c>
      <c r="E7" s="4">
        <f t="shared" si="0"/>
        <v>0.80533333333333335</v>
      </c>
    </row>
    <row r="8" spans="1:13" x14ac:dyDescent="0.55000000000000004">
      <c r="A8" s="3">
        <v>4.3</v>
      </c>
      <c r="B8" s="3">
        <v>0.35610000000000003</v>
      </c>
      <c r="C8" s="3">
        <v>52.34</v>
      </c>
      <c r="D8" s="4">
        <f t="shared" si="1"/>
        <v>3.756756756756784E-4</v>
      </c>
      <c r="E8" s="4">
        <f t="shared" si="0"/>
        <v>0.8723333333333334</v>
      </c>
    </row>
    <row r="9" spans="1:13" x14ac:dyDescent="0.55000000000000004">
      <c r="A9" s="3">
        <v>4.4000000000000004</v>
      </c>
      <c r="B9" s="3">
        <v>0.3644</v>
      </c>
      <c r="C9" s="3">
        <v>57.17</v>
      </c>
      <c r="D9" s="4">
        <f t="shared" si="1"/>
        <v>4.5045045045045322E-4</v>
      </c>
      <c r="E9" s="4">
        <f t="shared" si="0"/>
        <v>0.95283333333333331</v>
      </c>
    </row>
    <row r="10" spans="1:13" x14ac:dyDescent="0.55000000000000004">
      <c r="A10" s="3">
        <v>4.5</v>
      </c>
      <c r="B10" s="3">
        <v>0.37269999999999998</v>
      </c>
      <c r="C10" s="3">
        <v>62.01</v>
      </c>
      <c r="D10" s="4">
        <f t="shared" si="1"/>
        <v>5.2522522522522761E-4</v>
      </c>
      <c r="E10" s="4">
        <f t="shared" si="0"/>
        <v>1.0334999999999999</v>
      </c>
    </row>
    <row r="11" spans="1:13" x14ac:dyDescent="0.55000000000000004">
      <c r="A11" s="3">
        <v>4.5999999999999996</v>
      </c>
      <c r="B11" s="3">
        <v>0.38109999999999999</v>
      </c>
      <c r="C11" s="3">
        <v>66.84</v>
      </c>
      <c r="D11" s="4">
        <f t="shared" si="1"/>
        <v>6.0090090090090349E-4</v>
      </c>
      <c r="E11" s="4">
        <f t="shared" si="0"/>
        <v>1.1140000000000001</v>
      </c>
    </row>
    <row r="12" spans="1:13" x14ac:dyDescent="0.55000000000000004">
      <c r="A12" s="3">
        <v>4.7</v>
      </c>
      <c r="B12" s="3">
        <v>0.38940000000000002</v>
      </c>
      <c r="C12" s="3">
        <v>71.67</v>
      </c>
      <c r="D12" s="4">
        <f t="shared" si="1"/>
        <v>6.7567567567567832E-4</v>
      </c>
      <c r="E12" s="4">
        <f t="shared" si="0"/>
        <v>1.1945000000000001</v>
      </c>
    </row>
    <row r="13" spans="1:13" x14ac:dyDescent="0.55000000000000004">
      <c r="A13" s="3">
        <v>4.8</v>
      </c>
      <c r="B13" s="3">
        <v>0.39779999999999999</v>
      </c>
      <c r="C13" s="3">
        <v>76.5</v>
      </c>
      <c r="D13" s="4">
        <f t="shared" si="1"/>
        <v>7.5135135135135376E-4</v>
      </c>
      <c r="E13" s="4">
        <f t="shared" si="0"/>
        <v>1.2749999999999999</v>
      </c>
    </row>
    <row r="14" spans="1:13" x14ac:dyDescent="0.55000000000000004">
      <c r="A14" s="3">
        <v>4.9000000000000004</v>
      </c>
      <c r="B14" s="3">
        <v>0.40610000000000002</v>
      </c>
      <c r="C14" s="3">
        <v>81.34</v>
      </c>
      <c r="D14" s="4">
        <f t="shared" si="1"/>
        <v>8.2612612612612902E-4</v>
      </c>
      <c r="E14" s="4">
        <f t="shared" si="0"/>
        <v>1.3556666666666668</v>
      </c>
    </row>
    <row r="15" spans="1:13" x14ac:dyDescent="0.55000000000000004">
      <c r="A15" s="3">
        <v>5</v>
      </c>
      <c r="B15" s="3">
        <v>0.41439999999999999</v>
      </c>
      <c r="C15" s="3">
        <v>86.17</v>
      </c>
      <c r="D15" s="4">
        <f t="shared" si="1"/>
        <v>9.0090090090090341E-4</v>
      </c>
      <c r="E15" s="4">
        <f t="shared" si="0"/>
        <v>1.4361666666666666</v>
      </c>
    </row>
    <row r="16" spans="1:13" x14ac:dyDescent="0.55000000000000004">
      <c r="A16" s="3">
        <v>5.0999999999999996</v>
      </c>
      <c r="B16" s="3">
        <v>0.42270000000000002</v>
      </c>
      <c r="C16" s="3">
        <v>91</v>
      </c>
      <c r="D16" s="4">
        <f t="shared" si="1"/>
        <v>9.7567567567567823E-4</v>
      </c>
      <c r="E16" s="4">
        <f t="shared" si="0"/>
        <v>1.5166666666666666</v>
      </c>
    </row>
    <row r="17" spans="1:13" x14ac:dyDescent="0.55000000000000004">
      <c r="A17" s="3">
        <v>5.2</v>
      </c>
      <c r="B17" s="3">
        <v>0.43109999999999998</v>
      </c>
      <c r="C17" s="3">
        <v>95.03</v>
      </c>
      <c r="D17" s="4">
        <f t="shared" si="1"/>
        <v>1.0513513513513537E-3</v>
      </c>
      <c r="E17" s="4">
        <f t="shared" si="0"/>
        <v>1.5838333333333334</v>
      </c>
    </row>
    <row r="18" spans="1:13" x14ac:dyDescent="0.55000000000000004">
      <c r="A18" s="3">
        <v>5.3</v>
      </c>
      <c r="B18" s="3">
        <v>0.43940000000000001</v>
      </c>
      <c r="C18" s="3">
        <v>100.66</v>
      </c>
      <c r="D18" s="4">
        <f t="shared" si="1"/>
        <v>1.1261261261261289E-3</v>
      </c>
      <c r="E18" s="4">
        <f t="shared" si="0"/>
        <v>1.6776666666666666</v>
      </c>
    </row>
    <row r="19" spans="1:13" x14ac:dyDescent="0.55000000000000004">
      <c r="A19" s="3">
        <v>5.4</v>
      </c>
      <c r="B19" s="3">
        <v>0.44769999999999999</v>
      </c>
      <c r="C19" s="3">
        <v>105.5</v>
      </c>
      <c r="D19" s="4">
        <f t="shared" si="1"/>
        <v>1.2009009009009033E-3</v>
      </c>
      <c r="E19" s="4">
        <f t="shared" si="0"/>
        <v>1.7583333333333333</v>
      </c>
    </row>
    <row r="20" spans="1:13" x14ac:dyDescent="0.55000000000000004">
      <c r="A20" s="3">
        <v>5.5</v>
      </c>
      <c r="B20" s="3">
        <v>0.45610000000000001</v>
      </c>
      <c r="C20" s="3">
        <v>110.33</v>
      </c>
      <c r="D20" s="4">
        <f t="shared" si="1"/>
        <v>1.2765765765765792E-3</v>
      </c>
      <c r="E20" s="4">
        <f t="shared" si="0"/>
        <v>1.8388333333333333</v>
      </c>
    </row>
    <row r="21" spans="1:13" x14ac:dyDescent="0.55000000000000004">
      <c r="A21" s="3">
        <v>5.6</v>
      </c>
      <c r="B21" s="3">
        <v>0.46439999999999998</v>
      </c>
      <c r="C21" s="3">
        <v>115.16</v>
      </c>
      <c r="D21" s="4">
        <f t="shared" si="1"/>
        <v>1.3513513513513536E-3</v>
      </c>
      <c r="E21" s="4">
        <f t="shared" si="0"/>
        <v>1.9193333333333333</v>
      </c>
    </row>
    <row r="22" spans="1:13" x14ac:dyDescent="0.55000000000000004">
      <c r="A22" s="3">
        <v>5.7</v>
      </c>
      <c r="B22" s="3">
        <v>0.4728</v>
      </c>
      <c r="C22" s="3">
        <v>119.99</v>
      </c>
      <c r="D22" s="4">
        <f t="shared" si="1"/>
        <v>1.4270270270270295E-3</v>
      </c>
      <c r="E22" s="4">
        <f t="shared" si="0"/>
        <v>1.9998333333333334</v>
      </c>
    </row>
    <row r="23" spans="1:13" x14ac:dyDescent="0.55000000000000004">
      <c r="A23" s="3">
        <v>5.8</v>
      </c>
      <c r="B23" s="3">
        <v>0.48110000000000003</v>
      </c>
      <c r="C23" s="3">
        <v>124.82001</v>
      </c>
      <c r="D23" s="4">
        <f t="shared" si="1"/>
        <v>1.5018018018018047E-3</v>
      </c>
      <c r="E23" s="4">
        <f t="shared" si="0"/>
        <v>2.0803335000000001</v>
      </c>
    </row>
    <row r="24" spans="1:13" x14ac:dyDescent="0.55000000000000004">
      <c r="A24" s="3">
        <v>5.9</v>
      </c>
      <c r="B24" s="3">
        <v>0.4894</v>
      </c>
      <c r="C24" s="3">
        <v>129.66</v>
      </c>
      <c r="D24" s="4">
        <f t="shared" si="1"/>
        <v>1.5765765765765791E-3</v>
      </c>
      <c r="E24" s="4">
        <f t="shared" si="0"/>
        <v>2.161</v>
      </c>
    </row>
    <row r="25" spans="1:13" x14ac:dyDescent="0.55000000000000004">
      <c r="A25" s="3">
        <v>6</v>
      </c>
      <c r="B25" s="3">
        <v>0.49769999999999998</v>
      </c>
      <c r="C25" s="3">
        <v>134.49</v>
      </c>
      <c r="D25" s="4">
        <f t="shared" si="1"/>
        <v>1.6513513513513535E-3</v>
      </c>
      <c r="E25" s="4">
        <f t="shared" si="0"/>
        <v>2.2415000000000003</v>
      </c>
    </row>
    <row r="26" spans="1:13" x14ac:dyDescent="0.55000000000000004">
      <c r="A26" s="3">
        <v>6.1</v>
      </c>
      <c r="B26" s="3">
        <v>0.50609999999999999</v>
      </c>
      <c r="C26" s="3">
        <v>139.32</v>
      </c>
      <c r="D26" s="4">
        <f t="shared" si="1"/>
        <v>1.7270270270270294E-3</v>
      </c>
      <c r="E26" s="4">
        <f t="shared" si="0"/>
        <v>2.3220000000000001</v>
      </c>
      <c r="J26" s="5" t="s">
        <v>12</v>
      </c>
      <c r="K26" s="5"/>
      <c r="L26" s="6">
        <f>MAX(E:E)</f>
        <v>9.1943331666666666</v>
      </c>
      <c r="M26" s="5" t="s">
        <v>11</v>
      </c>
    </row>
    <row r="27" spans="1:13" x14ac:dyDescent="0.55000000000000004">
      <c r="A27" s="3">
        <v>6.2</v>
      </c>
      <c r="B27" s="3">
        <v>0.51439999999999997</v>
      </c>
      <c r="C27" s="3">
        <v>144.15</v>
      </c>
      <c r="D27" s="4">
        <f t="shared" si="1"/>
        <v>1.8018018018018038E-3</v>
      </c>
      <c r="E27" s="4">
        <f t="shared" si="0"/>
        <v>2.4025000000000003</v>
      </c>
      <c r="J27" s="5" t="s">
        <v>10</v>
      </c>
      <c r="K27" s="5"/>
      <c r="L27" s="5">
        <v>9.6090090090090122E-3</v>
      </c>
      <c r="M27" s="5" t="s">
        <v>18</v>
      </c>
    </row>
    <row r="28" spans="1:13" x14ac:dyDescent="0.55000000000000004">
      <c r="A28" s="3">
        <v>6.3</v>
      </c>
      <c r="B28" s="3">
        <v>0.52270000000000005</v>
      </c>
      <c r="C28" s="3">
        <v>148.99001000000001</v>
      </c>
      <c r="D28" s="4">
        <f t="shared" si="1"/>
        <v>1.8765765765765799E-3</v>
      </c>
      <c r="E28" s="4">
        <f t="shared" si="0"/>
        <v>2.4831668333333337</v>
      </c>
    </row>
    <row r="29" spans="1:13" x14ac:dyDescent="0.55000000000000004">
      <c r="A29" s="3">
        <v>6.4</v>
      </c>
      <c r="B29" s="3">
        <v>0.53110000000000002</v>
      </c>
      <c r="C29" s="3">
        <v>153.81998999999999</v>
      </c>
      <c r="D29" s="4">
        <f t="shared" si="1"/>
        <v>1.9522522522522549E-3</v>
      </c>
      <c r="E29" s="4">
        <f t="shared" ref="E29:E92" si="2">C29/$L$4</f>
        <v>2.5636664999999996</v>
      </c>
    </row>
    <row r="30" spans="1:13" x14ac:dyDescent="0.55000000000000004">
      <c r="A30" s="3">
        <v>6.5</v>
      </c>
      <c r="B30" s="3">
        <v>0.53939999999999999</v>
      </c>
      <c r="C30" s="3">
        <v>158.64999</v>
      </c>
      <c r="D30" s="4">
        <f t="shared" si="1"/>
        <v>2.0270270270270293E-3</v>
      </c>
      <c r="E30" s="4">
        <f t="shared" si="2"/>
        <v>2.6441664999999999</v>
      </c>
    </row>
    <row r="31" spans="1:13" x14ac:dyDescent="0.55000000000000004">
      <c r="A31" s="3">
        <v>6.6</v>
      </c>
      <c r="B31" s="3">
        <v>0.54779999999999995</v>
      </c>
      <c r="C31" s="3">
        <v>163.47999999999999</v>
      </c>
      <c r="D31" s="4">
        <f t="shared" si="1"/>
        <v>2.1027027027027052E-3</v>
      </c>
      <c r="E31" s="4">
        <f t="shared" si="2"/>
        <v>2.7246666666666663</v>
      </c>
    </row>
    <row r="32" spans="1:13" x14ac:dyDescent="0.55000000000000004">
      <c r="A32" s="3">
        <v>6.7</v>
      </c>
      <c r="B32" s="3">
        <v>0.55610000000000004</v>
      </c>
      <c r="C32" s="3">
        <v>168.31</v>
      </c>
      <c r="D32" s="4">
        <f t="shared" si="1"/>
        <v>2.1774774774774804E-3</v>
      </c>
      <c r="E32" s="4">
        <f t="shared" si="2"/>
        <v>2.8051666666666666</v>
      </c>
    </row>
    <row r="33" spans="1:5" x14ac:dyDescent="0.55000000000000004">
      <c r="A33" s="3">
        <v>6.8</v>
      </c>
      <c r="B33" s="3">
        <v>0.56440000000000001</v>
      </c>
      <c r="C33" s="3">
        <v>173.15</v>
      </c>
      <c r="D33" s="4">
        <f t="shared" si="1"/>
        <v>2.2522522522522548E-3</v>
      </c>
      <c r="E33" s="4">
        <f t="shared" si="2"/>
        <v>2.8858333333333333</v>
      </c>
    </row>
    <row r="34" spans="1:5" x14ac:dyDescent="0.55000000000000004">
      <c r="A34" s="3">
        <v>6.9</v>
      </c>
      <c r="B34" s="3">
        <v>0.57269999999999999</v>
      </c>
      <c r="C34" s="3">
        <v>178.78</v>
      </c>
      <c r="D34" s="4">
        <f t="shared" si="1"/>
        <v>2.3270270270270292E-3</v>
      </c>
      <c r="E34" s="4">
        <f t="shared" si="2"/>
        <v>2.9796666666666667</v>
      </c>
    </row>
    <row r="35" spans="1:5" x14ac:dyDescent="0.55000000000000004">
      <c r="A35" s="3">
        <v>7</v>
      </c>
      <c r="B35" s="3">
        <v>0.58109999999999995</v>
      </c>
      <c r="C35" s="3">
        <v>183.62001000000001</v>
      </c>
      <c r="D35" s="4">
        <f t="shared" si="1"/>
        <v>2.4027027027027051E-3</v>
      </c>
      <c r="E35" s="4">
        <f t="shared" si="2"/>
        <v>3.0603335</v>
      </c>
    </row>
    <row r="36" spans="1:5" x14ac:dyDescent="0.55000000000000004">
      <c r="A36" s="3">
        <v>7.1</v>
      </c>
      <c r="B36" s="3">
        <v>0.58940000000000003</v>
      </c>
      <c r="C36" s="3">
        <v>189.25</v>
      </c>
      <c r="D36" s="4">
        <f t="shared" si="1"/>
        <v>2.4774774774774804E-3</v>
      </c>
      <c r="E36" s="4">
        <f t="shared" si="2"/>
        <v>3.1541666666666668</v>
      </c>
    </row>
    <row r="37" spans="1:5" x14ac:dyDescent="0.55000000000000004">
      <c r="A37" s="3">
        <v>7.2</v>
      </c>
      <c r="B37" s="3">
        <v>0.59770000000000001</v>
      </c>
      <c r="C37" s="3">
        <v>194.08000999999999</v>
      </c>
      <c r="D37" s="4">
        <f t="shared" si="1"/>
        <v>2.5522522522522548E-3</v>
      </c>
      <c r="E37" s="4">
        <f t="shared" si="2"/>
        <v>3.2346668333333333</v>
      </c>
    </row>
    <row r="38" spans="1:5" x14ac:dyDescent="0.55000000000000004">
      <c r="A38" s="3">
        <v>7.3</v>
      </c>
      <c r="B38" s="3">
        <v>0.60609999999999997</v>
      </c>
      <c r="C38" s="3">
        <v>198.92</v>
      </c>
      <c r="D38" s="4">
        <f t="shared" si="1"/>
        <v>2.6279279279279306E-3</v>
      </c>
      <c r="E38" s="4">
        <f t="shared" si="2"/>
        <v>3.3153333333333332</v>
      </c>
    </row>
    <row r="39" spans="1:5" x14ac:dyDescent="0.55000000000000004">
      <c r="A39" s="3">
        <v>7.4</v>
      </c>
      <c r="B39" s="3">
        <v>0.61439999999999995</v>
      </c>
      <c r="C39" s="3">
        <v>203.75</v>
      </c>
      <c r="D39" s="4">
        <f t="shared" si="1"/>
        <v>2.702702702702705E-3</v>
      </c>
      <c r="E39" s="4">
        <f t="shared" si="2"/>
        <v>3.3958333333333335</v>
      </c>
    </row>
    <row r="40" spans="1:5" x14ac:dyDescent="0.55000000000000004">
      <c r="A40" s="3">
        <v>7.5</v>
      </c>
      <c r="B40" s="3">
        <v>0.62280000000000002</v>
      </c>
      <c r="C40" s="3">
        <v>208.58</v>
      </c>
      <c r="D40" s="4">
        <f t="shared" si="1"/>
        <v>2.7783783783783809E-3</v>
      </c>
      <c r="E40" s="4">
        <f t="shared" si="2"/>
        <v>3.4763333333333337</v>
      </c>
    </row>
    <row r="41" spans="1:5" x14ac:dyDescent="0.55000000000000004">
      <c r="A41" s="3">
        <v>7.6</v>
      </c>
      <c r="B41" s="3">
        <v>0.63109999999999999</v>
      </c>
      <c r="C41" s="3">
        <v>214.22</v>
      </c>
      <c r="D41" s="4">
        <f t="shared" si="1"/>
        <v>2.8531531531531553E-3</v>
      </c>
      <c r="E41" s="4">
        <f t="shared" si="2"/>
        <v>3.5703333333333331</v>
      </c>
    </row>
    <row r="42" spans="1:5" x14ac:dyDescent="0.55000000000000004">
      <c r="A42" s="3">
        <v>7.7</v>
      </c>
      <c r="B42" s="3">
        <v>0.63939999999999997</v>
      </c>
      <c r="C42" s="3">
        <v>219.05</v>
      </c>
      <c r="D42" s="4">
        <f t="shared" si="1"/>
        <v>2.9279279279279305E-3</v>
      </c>
      <c r="E42" s="4">
        <f t="shared" si="2"/>
        <v>3.6508333333333334</v>
      </c>
    </row>
    <row r="43" spans="1:5" x14ac:dyDescent="0.55000000000000004">
      <c r="A43" s="3">
        <v>7.8</v>
      </c>
      <c r="B43" s="3">
        <v>0.64770000000000005</v>
      </c>
      <c r="C43" s="3">
        <v>224.69</v>
      </c>
      <c r="D43" s="4">
        <f t="shared" si="1"/>
        <v>3.0027027027027058E-3</v>
      </c>
      <c r="E43" s="4">
        <f t="shared" si="2"/>
        <v>3.7448333333333332</v>
      </c>
    </row>
    <row r="44" spans="1:5" x14ac:dyDescent="0.55000000000000004">
      <c r="A44" s="3">
        <v>7.9</v>
      </c>
      <c r="B44" s="3">
        <v>0.65610000000000002</v>
      </c>
      <c r="C44" s="3">
        <v>229.52001000000001</v>
      </c>
      <c r="D44" s="4">
        <f t="shared" si="1"/>
        <v>3.0783783783783808E-3</v>
      </c>
      <c r="E44" s="4">
        <f t="shared" si="2"/>
        <v>3.8253335000000002</v>
      </c>
    </row>
    <row r="45" spans="1:5" x14ac:dyDescent="0.55000000000000004">
      <c r="A45" s="3">
        <v>8</v>
      </c>
      <c r="B45" s="3">
        <v>0.66439999999999999</v>
      </c>
      <c r="C45" s="3">
        <v>235.15998999999999</v>
      </c>
      <c r="D45" s="4">
        <f t="shared" si="1"/>
        <v>3.1531531531531552E-3</v>
      </c>
      <c r="E45" s="4">
        <f t="shared" si="2"/>
        <v>3.9193331666666666</v>
      </c>
    </row>
    <row r="46" spans="1:5" x14ac:dyDescent="0.55000000000000004">
      <c r="A46" s="3">
        <v>8.1</v>
      </c>
      <c r="B46" s="3">
        <v>0.67269999999999996</v>
      </c>
      <c r="C46" s="3">
        <v>240.80000999999999</v>
      </c>
      <c r="D46" s="4">
        <f t="shared" si="1"/>
        <v>3.2279279279279305E-3</v>
      </c>
      <c r="E46" s="4">
        <f t="shared" si="2"/>
        <v>4.0133334999999999</v>
      </c>
    </row>
    <row r="47" spans="1:5" x14ac:dyDescent="0.55000000000000004">
      <c r="A47" s="3">
        <v>8.1999999999999993</v>
      </c>
      <c r="B47" s="3">
        <v>0.68110000000000004</v>
      </c>
      <c r="C47" s="3">
        <v>244.82</v>
      </c>
      <c r="D47" s="4">
        <f t="shared" si="1"/>
        <v>3.3036036036036063E-3</v>
      </c>
      <c r="E47" s="4">
        <f t="shared" si="2"/>
        <v>4.0803333333333329</v>
      </c>
    </row>
    <row r="48" spans="1:5" x14ac:dyDescent="0.55000000000000004">
      <c r="A48" s="3">
        <v>8.3000000000000007</v>
      </c>
      <c r="B48" s="3">
        <v>0.68940000000000001</v>
      </c>
      <c r="C48" s="3">
        <v>250.46001000000001</v>
      </c>
      <c r="D48" s="4">
        <f t="shared" si="1"/>
        <v>3.3783783783783807E-3</v>
      </c>
      <c r="E48" s="4">
        <f t="shared" si="2"/>
        <v>4.1743335000000004</v>
      </c>
    </row>
    <row r="49" spans="1:5" x14ac:dyDescent="0.55000000000000004">
      <c r="A49" s="3">
        <v>8.4</v>
      </c>
      <c r="B49" s="3">
        <v>0.69779999999999998</v>
      </c>
      <c r="C49" s="3">
        <v>255.29</v>
      </c>
      <c r="D49" s="4">
        <f t="shared" si="1"/>
        <v>3.4540540540540566E-3</v>
      </c>
      <c r="E49" s="4">
        <f t="shared" si="2"/>
        <v>4.254833333333333</v>
      </c>
    </row>
    <row r="50" spans="1:5" x14ac:dyDescent="0.55000000000000004">
      <c r="A50" s="3">
        <v>8.5</v>
      </c>
      <c r="B50" s="3">
        <v>0.70609999999999995</v>
      </c>
      <c r="C50" s="3">
        <v>260.92998999999998</v>
      </c>
      <c r="D50" s="4">
        <f t="shared" si="1"/>
        <v>3.528828828828831E-3</v>
      </c>
      <c r="E50" s="4">
        <f t="shared" si="2"/>
        <v>4.3488331666666662</v>
      </c>
    </row>
    <row r="51" spans="1:5" x14ac:dyDescent="0.55000000000000004">
      <c r="A51" s="3">
        <v>8.6</v>
      </c>
      <c r="B51" s="3">
        <v>0.71440000000000003</v>
      </c>
      <c r="C51" s="3">
        <v>265.76</v>
      </c>
      <c r="D51" s="4">
        <f t="shared" si="1"/>
        <v>3.6036036036036063E-3</v>
      </c>
      <c r="E51" s="4">
        <f t="shared" si="2"/>
        <v>4.4293333333333331</v>
      </c>
    </row>
    <row r="52" spans="1:5" x14ac:dyDescent="0.55000000000000004">
      <c r="A52" s="3">
        <v>8.6999999999999993</v>
      </c>
      <c r="B52" s="3">
        <v>0.72270000000000001</v>
      </c>
      <c r="C52" s="3">
        <v>270.58999</v>
      </c>
      <c r="D52" s="4">
        <f t="shared" si="1"/>
        <v>3.6783783783783807E-3</v>
      </c>
      <c r="E52" s="4">
        <f t="shared" si="2"/>
        <v>4.5098331666666667</v>
      </c>
    </row>
    <row r="53" spans="1:5" x14ac:dyDescent="0.55000000000000004">
      <c r="A53" s="3">
        <v>8.8000000000000007</v>
      </c>
      <c r="B53" s="3">
        <v>0.73109999999999997</v>
      </c>
      <c r="C53" s="3">
        <v>276.23000999999999</v>
      </c>
      <c r="D53" s="4">
        <f t="shared" si="1"/>
        <v>3.7540540540540565E-3</v>
      </c>
      <c r="E53" s="4">
        <f t="shared" si="2"/>
        <v>4.6038334999999995</v>
      </c>
    </row>
    <row r="54" spans="1:5" x14ac:dyDescent="0.55000000000000004">
      <c r="A54" s="3">
        <v>8.9</v>
      </c>
      <c r="B54" s="3">
        <v>0.73939999999999995</v>
      </c>
      <c r="C54" s="3">
        <v>281.05999000000003</v>
      </c>
      <c r="D54" s="4">
        <f t="shared" si="1"/>
        <v>3.8288288288288309E-3</v>
      </c>
      <c r="E54" s="4">
        <f t="shared" si="2"/>
        <v>4.6843331666666668</v>
      </c>
    </row>
    <row r="55" spans="1:5" x14ac:dyDescent="0.55000000000000004">
      <c r="A55" s="3">
        <v>9</v>
      </c>
      <c r="B55" s="3">
        <v>0.74770000000000003</v>
      </c>
      <c r="C55" s="3">
        <v>285.89001000000002</v>
      </c>
      <c r="D55" s="4">
        <f t="shared" si="1"/>
        <v>3.9036036036036062E-3</v>
      </c>
      <c r="E55" s="4">
        <f t="shared" si="2"/>
        <v>4.7648334999999999</v>
      </c>
    </row>
    <row r="56" spans="1:5" x14ac:dyDescent="0.55000000000000004">
      <c r="A56" s="3">
        <v>9.1</v>
      </c>
      <c r="B56" s="3">
        <v>0.75609999999999999</v>
      </c>
      <c r="C56" s="3">
        <v>290.73</v>
      </c>
      <c r="D56" s="4">
        <f t="shared" si="1"/>
        <v>3.9792792792792825E-3</v>
      </c>
      <c r="E56" s="4">
        <f t="shared" si="2"/>
        <v>4.8455000000000004</v>
      </c>
    </row>
    <row r="57" spans="1:5" x14ac:dyDescent="0.55000000000000004">
      <c r="A57" s="3">
        <v>9.1999999999999993</v>
      </c>
      <c r="B57" s="3">
        <v>0.76439999999999997</v>
      </c>
      <c r="C57" s="3">
        <v>296.36000999999999</v>
      </c>
      <c r="D57" s="4">
        <f t="shared" si="1"/>
        <v>4.054054054054056E-3</v>
      </c>
      <c r="E57" s="4">
        <f t="shared" si="2"/>
        <v>4.9393335</v>
      </c>
    </row>
    <row r="58" spans="1:5" x14ac:dyDescent="0.55000000000000004">
      <c r="A58" s="3">
        <v>9.3000000000000007</v>
      </c>
      <c r="B58" s="3">
        <v>0.77280000000000004</v>
      </c>
      <c r="C58" s="3">
        <v>300.39</v>
      </c>
      <c r="D58" s="4">
        <f t="shared" si="1"/>
        <v>4.1297297297297319E-3</v>
      </c>
      <c r="E58" s="4">
        <f t="shared" si="2"/>
        <v>5.0065</v>
      </c>
    </row>
    <row r="59" spans="1:5" x14ac:dyDescent="0.55000000000000004">
      <c r="A59" s="3">
        <v>9.4</v>
      </c>
      <c r="B59" s="3">
        <v>0.78110000000000002</v>
      </c>
      <c r="C59" s="3">
        <v>305.21999</v>
      </c>
      <c r="D59" s="4">
        <f t="shared" si="1"/>
        <v>4.2045045045045071E-3</v>
      </c>
      <c r="E59" s="4">
        <f t="shared" si="2"/>
        <v>5.0869998333333335</v>
      </c>
    </row>
    <row r="60" spans="1:5" x14ac:dyDescent="0.55000000000000004">
      <c r="A60" s="3">
        <v>9.5</v>
      </c>
      <c r="B60" s="3">
        <v>0.78939999999999999</v>
      </c>
      <c r="C60" s="3">
        <v>310.86000999999999</v>
      </c>
      <c r="D60" s="4">
        <f t="shared" si="1"/>
        <v>4.2792792792792824E-3</v>
      </c>
      <c r="E60" s="4">
        <f t="shared" si="2"/>
        <v>5.1810001666666663</v>
      </c>
    </row>
    <row r="61" spans="1:5" x14ac:dyDescent="0.55000000000000004">
      <c r="A61" s="3">
        <v>9.6</v>
      </c>
      <c r="B61" s="3">
        <v>0.79779999999999995</v>
      </c>
      <c r="C61" s="3">
        <v>315.68999000000002</v>
      </c>
      <c r="D61" s="4">
        <f t="shared" si="1"/>
        <v>4.3549549549549565E-3</v>
      </c>
      <c r="E61" s="4">
        <f t="shared" si="2"/>
        <v>5.2614998333333336</v>
      </c>
    </row>
    <row r="62" spans="1:5" x14ac:dyDescent="0.55000000000000004">
      <c r="A62" s="3">
        <v>9.6999999999999993</v>
      </c>
      <c r="B62" s="3">
        <v>0.80610000000000004</v>
      </c>
      <c r="C62" s="3">
        <v>320.53001</v>
      </c>
      <c r="D62" s="4">
        <f t="shared" si="1"/>
        <v>4.4297297297297318E-3</v>
      </c>
      <c r="E62" s="4">
        <f t="shared" si="2"/>
        <v>5.3421668333333336</v>
      </c>
    </row>
    <row r="63" spans="1:5" x14ac:dyDescent="0.55000000000000004">
      <c r="A63" s="3">
        <v>9.8000000000000007</v>
      </c>
      <c r="B63" s="3">
        <v>0.81440000000000001</v>
      </c>
      <c r="C63" s="3">
        <v>325.36</v>
      </c>
      <c r="D63" s="4">
        <f t="shared" si="1"/>
        <v>4.5045045045045071E-3</v>
      </c>
      <c r="E63" s="4">
        <f t="shared" si="2"/>
        <v>5.4226666666666672</v>
      </c>
    </row>
    <row r="64" spans="1:5" x14ac:dyDescent="0.55000000000000004">
      <c r="A64" s="3">
        <v>9.9</v>
      </c>
      <c r="B64" s="3">
        <v>0.82269999999999999</v>
      </c>
      <c r="C64" s="3">
        <v>330.18999000000002</v>
      </c>
      <c r="D64" s="4">
        <f t="shared" si="1"/>
        <v>4.5792792792792823E-3</v>
      </c>
      <c r="E64" s="4">
        <f t="shared" si="2"/>
        <v>5.5031665000000007</v>
      </c>
    </row>
    <row r="65" spans="1:5" x14ac:dyDescent="0.55000000000000004">
      <c r="A65" s="3">
        <v>10</v>
      </c>
      <c r="B65" s="3">
        <v>0.83109999999999995</v>
      </c>
      <c r="C65" s="3">
        <v>335.02</v>
      </c>
      <c r="D65" s="4">
        <f t="shared" si="1"/>
        <v>4.6549549549549565E-3</v>
      </c>
      <c r="E65" s="4">
        <f t="shared" si="2"/>
        <v>5.5836666666666668</v>
      </c>
    </row>
    <row r="66" spans="1:5" x14ac:dyDescent="0.55000000000000004">
      <c r="A66" s="3">
        <v>10.1</v>
      </c>
      <c r="B66" s="3">
        <v>0.83940000000000003</v>
      </c>
      <c r="C66" s="3">
        <v>339.84998999999999</v>
      </c>
      <c r="D66" s="4">
        <f t="shared" si="1"/>
        <v>4.7297297297297317E-3</v>
      </c>
      <c r="E66" s="4">
        <f t="shared" si="2"/>
        <v>5.6641664999999994</v>
      </c>
    </row>
    <row r="67" spans="1:5" x14ac:dyDescent="0.55000000000000004">
      <c r="A67" s="3">
        <v>10.199999999999999</v>
      </c>
      <c r="B67" s="3">
        <v>0.84770000000000001</v>
      </c>
      <c r="C67" s="3">
        <v>344.69000999999997</v>
      </c>
      <c r="D67" s="4">
        <f t="shared" si="1"/>
        <v>4.804504504504507E-3</v>
      </c>
      <c r="E67" s="4">
        <f t="shared" si="2"/>
        <v>5.7448334999999995</v>
      </c>
    </row>
    <row r="68" spans="1:5" x14ac:dyDescent="0.55000000000000004">
      <c r="A68" s="3">
        <v>10.3</v>
      </c>
      <c r="B68" s="3">
        <v>0.85609999999999997</v>
      </c>
      <c r="C68" s="3">
        <v>349.52</v>
      </c>
      <c r="D68" s="4">
        <f t="shared" ref="D68:D131" si="3">((B68/$L$3))-0.00283243243243243</f>
        <v>4.8801801801801829E-3</v>
      </c>
      <c r="E68" s="4">
        <f t="shared" si="2"/>
        <v>5.825333333333333</v>
      </c>
    </row>
    <row r="69" spans="1:5" x14ac:dyDescent="0.55000000000000004">
      <c r="A69" s="3">
        <v>10.4</v>
      </c>
      <c r="B69" s="3">
        <v>0.86439999999999995</v>
      </c>
      <c r="C69" s="3">
        <v>354.35001</v>
      </c>
      <c r="D69" s="4">
        <f t="shared" si="3"/>
        <v>4.9549549549549564E-3</v>
      </c>
      <c r="E69" s="4">
        <f t="shared" si="2"/>
        <v>5.9058335</v>
      </c>
    </row>
    <row r="70" spans="1:5" x14ac:dyDescent="0.55000000000000004">
      <c r="A70" s="3">
        <v>10.5</v>
      </c>
      <c r="B70" s="3">
        <v>0.87280000000000002</v>
      </c>
      <c r="C70" s="3">
        <v>358.38</v>
      </c>
      <c r="D70" s="4">
        <f t="shared" si="3"/>
        <v>5.030630630630634E-3</v>
      </c>
      <c r="E70" s="4">
        <f t="shared" si="2"/>
        <v>5.9729999999999999</v>
      </c>
    </row>
    <row r="71" spans="1:5" x14ac:dyDescent="0.55000000000000004">
      <c r="A71" s="3">
        <v>10.6</v>
      </c>
      <c r="B71" s="3">
        <v>0.88109999999999999</v>
      </c>
      <c r="C71" s="3">
        <v>363.20999</v>
      </c>
      <c r="D71" s="4">
        <f t="shared" si="3"/>
        <v>5.1054054054054075E-3</v>
      </c>
      <c r="E71" s="4">
        <f t="shared" si="2"/>
        <v>6.0534998333333334</v>
      </c>
    </row>
    <row r="72" spans="1:5" x14ac:dyDescent="0.55000000000000004">
      <c r="A72" s="3">
        <v>10.7</v>
      </c>
      <c r="B72" s="3">
        <v>0.88939999999999997</v>
      </c>
      <c r="C72" s="3">
        <v>368.04001</v>
      </c>
      <c r="D72" s="4">
        <f t="shared" si="3"/>
        <v>5.1801801801801828E-3</v>
      </c>
      <c r="E72" s="4">
        <f t="shared" si="2"/>
        <v>6.1340001666666666</v>
      </c>
    </row>
    <row r="73" spans="1:5" x14ac:dyDescent="0.55000000000000004">
      <c r="A73" s="3">
        <v>10.8</v>
      </c>
      <c r="B73" s="3">
        <v>0.89770000000000005</v>
      </c>
      <c r="C73" s="3">
        <v>372.07</v>
      </c>
      <c r="D73" s="4">
        <f t="shared" si="3"/>
        <v>5.254954954954958E-3</v>
      </c>
      <c r="E73" s="4">
        <f t="shared" si="2"/>
        <v>6.2011666666666665</v>
      </c>
    </row>
    <row r="74" spans="1:5" x14ac:dyDescent="0.55000000000000004">
      <c r="A74" s="3">
        <v>10.9</v>
      </c>
      <c r="B74" s="3">
        <v>0.90610000000000002</v>
      </c>
      <c r="C74" s="3">
        <v>376.89999</v>
      </c>
      <c r="D74" s="4">
        <f t="shared" si="3"/>
        <v>5.3306306306306339E-3</v>
      </c>
      <c r="E74" s="4">
        <f t="shared" si="2"/>
        <v>6.2816665</v>
      </c>
    </row>
    <row r="75" spans="1:5" x14ac:dyDescent="0.55000000000000004">
      <c r="A75" s="3">
        <v>11</v>
      </c>
      <c r="B75" s="3">
        <v>0.91439999999999999</v>
      </c>
      <c r="C75" s="3">
        <v>380.93000999999998</v>
      </c>
      <c r="D75" s="4">
        <f t="shared" si="3"/>
        <v>5.4054054054054074E-3</v>
      </c>
      <c r="E75" s="4">
        <f t="shared" si="2"/>
        <v>6.3488334999999996</v>
      </c>
    </row>
    <row r="76" spans="1:5" x14ac:dyDescent="0.55000000000000004">
      <c r="A76" s="3">
        <v>11.1</v>
      </c>
      <c r="B76" s="3">
        <v>0.92269999999999996</v>
      </c>
      <c r="C76" s="3">
        <v>385.75999000000002</v>
      </c>
      <c r="D76" s="4">
        <f t="shared" si="3"/>
        <v>5.4801801801801827E-3</v>
      </c>
      <c r="E76" s="4">
        <f t="shared" si="2"/>
        <v>6.4293331666666669</v>
      </c>
    </row>
    <row r="77" spans="1:5" x14ac:dyDescent="0.55000000000000004">
      <c r="A77" s="3">
        <v>11.2</v>
      </c>
      <c r="B77" s="3">
        <v>0.93110000000000004</v>
      </c>
      <c r="C77" s="3">
        <v>389.79001</v>
      </c>
      <c r="D77" s="4">
        <f t="shared" si="3"/>
        <v>5.5558558558558586E-3</v>
      </c>
      <c r="E77" s="4">
        <f t="shared" si="2"/>
        <v>6.4965001666666664</v>
      </c>
    </row>
    <row r="78" spans="1:5" x14ac:dyDescent="0.55000000000000004">
      <c r="A78" s="3">
        <v>11.3</v>
      </c>
      <c r="B78" s="3">
        <v>0.93940000000000001</v>
      </c>
      <c r="C78" s="3">
        <v>394.62</v>
      </c>
      <c r="D78" s="4">
        <f t="shared" si="3"/>
        <v>5.6306306306306338E-3</v>
      </c>
      <c r="E78" s="4">
        <f t="shared" si="2"/>
        <v>6.577</v>
      </c>
    </row>
    <row r="79" spans="1:5" x14ac:dyDescent="0.55000000000000004">
      <c r="A79" s="3">
        <v>11.4</v>
      </c>
      <c r="B79" s="3">
        <v>0.94779999999999998</v>
      </c>
      <c r="C79" s="3">
        <v>398.63999000000001</v>
      </c>
      <c r="D79" s="4">
        <f t="shared" si="3"/>
        <v>5.7063063063063097E-3</v>
      </c>
      <c r="E79" s="4">
        <f t="shared" si="2"/>
        <v>6.6439998333333339</v>
      </c>
    </row>
    <row r="80" spans="1:5" x14ac:dyDescent="0.55000000000000004">
      <c r="A80" s="3">
        <v>11.5</v>
      </c>
      <c r="B80" s="3">
        <v>0.95609999999999995</v>
      </c>
      <c r="C80" s="3">
        <v>403.48000999999999</v>
      </c>
      <c r="D80" s="4">
        <f t="shared" si="3"/>
        <v>5.7810810810810832E-3</v>
      </c>
      <c r="E80" s="4">
        <f t="shared" si="2"/>
        <v>6.724666833333333</v>
      </c>
    </row>
    <row r="81" spans="1:5" x14ac:dyDescent="0.55000000000000004">
      <c r="A81" s="3">
        <v>11.6</v>
      </c>
      <c r="B81" s="3">
        <v>0.96440000000000003</v>
      </c>
      <c r="C81" s="3">
        <v>407.5</v>
      </c>
      <c r="D81" s="4">
        <f t="shared" si="3"/>
        <v>5.8558558558558585E-3</v>
      </c>
      <c r="E81" s="4">
        <f t="shared" si="2"/>
        <v>6.791666666666667</v>
      </c>
    </row>
    <row r="82" spans="1:5" x14ac:dyDescent="0.55000000000000004">
      <c r="A82" s="3">
        <v>11.7</v>
      </c>
      <c r="B82" s="3">
        <v>0.97270000000000001</v>
      </c>
      <c r="C82" s="3">
        <v>411.52999</v>
      </c>
      <c r="D82" s="4">
        <f t="shared" si="3"/>
        <v>5.9306306306306338E-3</v>
      </c>
      <c r="E82" s="4">
        <f t="shared" si="2"/>
        <v>6.8588331666666669</v>
      </c>
    </row>
    <row r="83" spans="1:5" x14ac:dyDescent="0.55000000000000004">
      <c r="A83" s="3">
        <v>11.8</v>
      </c>
      <c r="B83" s="3">
        <v>0.98109999999999997</v>
      </c>
      <c r="C83" s="3">
        <v>416.36</v>
      </c>
      <c r="D83" s="4">
        <f t="shared" si="3"/>
        <v>6.0063063063063096E-3</v>
      </c>
      <c r="E83" s="4">
        <f t="shared" si="2"/>
        <v>6.9393333333333338</v>
      </c>
    </row>
    <row r="84" spans="1:5" x14ac:dyDescent="0.55000000000000004">
      <c r="A84" s="3">
        <v>11.9</v>
      </c>
      <c r="B84" s="3">
        <v>0.98939999999999995</v>
      </c>
      <c r="C84" s="3">
        <v>421.18999000000002</v>
      </c>
      <c r="D84" s="4">
        <f t="shared" si="3"/>
        <v>6.0810810810810832E-3</v>
      </c>
      <c r="E84" s="4">
        <f t="shared" si="2"/>
        <v>7.0198331666666673</v>
      </c>
    </row>
    <row r="85" spans="1:5" x14ac:dyDescent="0.55000000000000004">
      <c r="A85" s="3">
        <v>12</v>
      </c>
      <c r="B85" s="3">
        <v>0.99770000000000003</v>
      </c>
      <c r="C85" s="3">
        <v>424.41998999999998</v>
      </c>
      <c r="D85" s="4">
        <f t="shared" si="3"/>
        <v>6.1558558558558584E-3</v>
      </c>
      <c r="E85" s="4">
        <f t="shared" si="2"/>
        <v>7.0736664999999999</v>
      </c>
    </row>
    <row r="86" spans="1:5" x14ac:dyDescent="0.55000000000000004">
      <c r="A86" s="3">
        <v>12.1</v>
      </c>
      <c r="B86" s="3">
        <v>1.006</v>
      </c>
      <c r="C86" s="3">
        <v>428.44</v>
      </c>
      <c r="D86" s="4">
        <f t="shared" si="3"/>
        <v>6.2306306306306337E-3</v>
      </c>
      <c r="E86" s="4">
        <f t="shared" si="2"/>
        <v>7.1406666666666663</v>
      </c>
    </row>
    <row r="87" spans="1:5" x14ac:dyDescent="0.55000000000000004">
      <c r="A87" s="3">
        <v>12.2</v>
      </c>
      <c r="B87" s="3">
        <v>1.0144</v>
      </c>
      <c r="C87" s="3">
        <v>432.46999</v>
      </c>
      <c r="D87" s="4">
        <f t="shared" si="3"/>
        <v>6.3063063063063095E-3</v>
      </c>
      <c r="E87" s="4">
        <f t="shared" si="2"/>
        <v>7.2078331666666662</v>
      </c>
    </row>
    <row r="88" spans="1:5" x14ac:dyDescent="0.55000000000000004">
      <c r="A88" s="3">
        <v>12.3</v>
      </c>
      <c r="B88" s="3">
        <v>1.0227999999999999</v>
      </c>
      <c r="C88" s="3">
        <v>437.30000999999999</v>
      </c>
      <c r="D88" s="4">
        <f t="shared" si="3"/>
        <v>6.3819819819819837E-3</v>
      </c>
      <c r="E88" s="4">
        <f t="shared" si="2"/>
        <v>7.2883334999999994</v>
      </c>
    </row>
    <row r="89" spans="1:5" x14ac:dyDescent="0.55000000000000004">
      <c r="A89" s="3">
        <v>12.4</v>
      </c>
      <c r="B89" s="3">
        <v>1.0310999999999999</v>
      </c>
      <c r="C89" s="3">
        <v>441.33</v>
      </c>
      <c r="D89" s="4">
        <f t="shared" si="3"/>
        <v>6.4567567567567589E-3</v>
      </c>
      <c r="E89" s="4">
        <f t="shared" si="2"/>
        <v>7.3555000000000001</v>
      </c>
    </row>
    <row r="90" spans="1:5" x14ac:dyDescent="0.55000000000000004">
      <c r="A90" s="3">
        <v>12.5</v>
      </c>
      <c r="B90" s="3">
        <v>1.0394000000000001</v>
      </c>
      <c r="C90" s="3">
        <v>445.34998999999999</v>
      </c>
      <c r="D90" s="4">
        <f t="shared" si="3"/>
        <v>6.5315315315315359E-3</v>
      </c>
      <c r="E90" s="4">
        <f t="shared" si="2"/>
        <v>7.4224998333333332</v>
      </c>
    </row>
    <row r="91" spans="1:5" x14ac:dyDescent="0.55000000000000004">
      <c r="A91" s="3">
        <v>12.6</v>
      </c>
      <c r="B91" s="3">
        <v>1.0477000000000001</v>
      </c>
      <c r="C91" s="3">
        <v>449.38001000000003</v>
      </c>
      <c r="D91" s="4">
        <f t="shared" si="3"/>
        <v>6.6063063063063095E-3</v>
      </c>
      <c r="E91" s="4">
        <f t="shared" si="2"/>
        <v>7.4896668333333336</v>
      </c>
    </row>
    <row r="92" spans="1:5" x14ac:dyDescent="0.55000000000000004">
      <c r="A92" s="3">
        <v>12.7</v>
      </c>
      <c r="B92" s="3">
        <v>1.0561</v>
      </c>
      <c r="C92" s="3">
        <v>452.6</v>
      </c>
      <c r="D92" s="4">
        <f t="shared" si="3"/>
        <v>6.6819819819819853E-3</v>
      </c>
      <c r="E92" s="4">
        <f t="shared" si="2"/>
        <v>7.5433333333333339</v>
      </c>
    </row>
    <row r="93" spans="1:5" x14ac:dyDescent="0.55000000000000004">
      <c r="A93" s="3">
        <v>12.8</v>
      </c>
      <c r="B93" s="3">
        <v>1.0644</v>
      </c>
      <c r="C93" s="3">
        <v>456.62999000000002</v>
      </c>
      <c r="D93" s="4">
        <f t="shared" si="3"/>
        <v>6.7567567567567606E-3</v>
      </c>
      <c r="E93" s="4">
        <f t="shared" ref="E93:E146" si="4">C93/$L$4</f>
        <v>7.6104998333333338</v>
      </c>
    </row>
    <row r="94" spans="1:5" x14ac:dyDescent="0.55000000000000004">
      <c r="A94" s="3">
        <v>12.9</v>
      </c>
      <c r="B94" s="3">
        <v>1.0727</v>
      </c>
      <c r="C94" s="3">
        <v>460.66001</v>
      </c>
      <c r="D94" s="4">
        <f t="shared" si="3"/>
        <v>6.8315315315315341E-3</v>
      </c>
      <c r="E94" s="4">
        <f t="shared" si="4"/>
        <v>7.6776668333333333</v>
      </c>
    </row>
    <row r="95" spans="1:5" x14ac:dyDescent="0.55000000000000004">
      <c r="A95" s="3">
        <v>13</v>
      </c>
      <c r="B95" s="3">
        <v>1.081</v>
      </c>
      <c r="C95" s="3">
        <v>463.88</v>
      </c>
      <c r="D95" s="4">
        <f t="shared" si="3"/>
        <v>6.9063063063063094E-3</v>
      </c>
      <c r="E95" s="4">
        <f t="shared" si="4"/>
        <v>7.7313333333333336</v>
      </c>
    </row>
    <row r="96" spans="1:5" x14ac:dyDescent="0.55000000000000004">
      <c r="A96" s="3">
        <v>13.1</v>
      </c>
      <c r="B96" s="3">
        <v>1.0893999999999999</v>
      </c>
      <c r="C96" s="3">
        <v>467.89999</v>
      </c>
      <c r="D96" s="4">
        <f t="shared" si="3"/>
        <v>6.9819819819819835E-3</v>
      </c>
      <c r="E96" s="4">
        <f t="shared" si="4"/>
        <v>7.7983331666666666</v>
      </c>
    </row>
    <row r="97" spans="1:5" x14ac:dyDescent="0.55000000000000004">
      <c r="A97" s="3">
        <v>13.2</v>
      </c>
      <c r="B97" s="3">
        <v>1.0978000000000001</v>
      </c>
      <c r="C97" s="3">
        <v>471.92998</v>
      </c>
      <c r="D97" s="4">
        <f t="shared" si="3"/>
        <v>7.0576576576576611E-3</v>
      </c>
      <c r="E97" s="4">
        <f t="shared" si="4"/>
        <v>7.8654996666666666</v>
      </c>
    </row>
    <row r="98" spans="1:5" x14ac:dyDescent="0.55000000000000004">
      <c r="A98" s="3">
        <v>13.3</v>
      </c>
      <c r="B98" s="3">
        <v>1.1061000000000001</v>
      </c>
      <c r="C98" s="3">
        <v>475.14997</v>
      </c>
      <c r="D98" s="4">
        <f t="shared" si="3"/>
        <v>7.1324324324324364E-3</v>
      </c>
      <c r="E98" s="4">
        <f t="shared" si="4"/>
        <v>7.9191661666666668</v>
      </c>
    </row>
    <row r="99" spans="1:5" x14ac:dyDescent="0.55000000000000004">
      <c r="A99" s="3">
        <v>13.4</v>
      </c>
      <c r="B99" s="3">
        <v>1.1144000000000001</v>
      </c>
      <c r="C99" s="3">
        <v>479.17998999999998</v>
      </c>
      <c r="D99" s="4">
        <f t="shared" si="3"/>
        <v>7.2072072072072099E-3</v>
      </c>
      <c r="E99" s="4">
        <f t="shared" si="4"/>
        <v>7.9863331666666664</v>
      </c>
    </row>
    <row r="100" spans="1:5" x14ac:dyDescent="0.55000000000000004">
      <c r="A100" s="3">
        <v>13.5</v>
      </c>
      <c r="B100" s="3">
        <v>1.1227</v>
      </c>
      <c r="C100" s="3">
        <v>482.39999</v>
      </c>
      <c r="D100" s="4">
        <f t="shared" si="3"/>
        <v>7.2819819819819852E-3</v>
      </c>
      <c r="E100" s="4">
        <f t="shared" si="4"/>
        <v>8.0399998333333329</v>
      </c>
    </row>
    <row r="101" spans="1:5" x14ac:dyDescent="0.55000000000000004">
      <c r="A101" s="3">
        <v>13.6</v>
      </c>
      <c r="B101" s="3">
        <v>1.1311</v>
      </c>
      <c r="C101" s="3">
        <v>486.43</v>
      </c>
      <c r="D101" s="4">
        <f t="shared" si="3"/>
        <v>7.3576576576576611E-3</v>
      </c>
      <c r="E101" s="4">
        <f t="shared" si="4"/>
        <v>8.1071666666666662</v>
      </c>
    </row>
    <row r="102" spans="1:5" x14ac:dyDescent="0.55000000000000004">
      <c r="A102" s="3">
        <v>13.7</v>
      </c>
      <c r="B102" s="3">
        <v>1.1394</v>
      </c>
      <c r="C102" s="3">
        <v>489.65</v>
      </c>
      <c r="D102" s="4">
        <f t="shared" si="3"/>
        <v>7.4324324324324346E-3</v>
      </c>
      <c r="E102" s="4">
        <f t="shared" si="4"/>
        <v>8.1608333333333327</v>
      </c>
    </row>
    <row r="103" spans="1:5" x14ac:dyDescent="0.55000000000000004">
      <c r="A103" s="3">
        <v>13.8</v>
      </c>
      <c r="B103" s="3">
        <v>1.1476999999999999</v>
      </c>
      <c r="C103" s="3">
        <v>492.86998999999997</v>
      </c>
      <c r="D103" s="4">
        <f t="shared" si="3"/>
        <v>7.5072072072072098E-3</v>
      </c>
      <c r="E103" s="4">
        <f t="shared" si="4"/>
        <v>8.214499833333333</v>
      </c>
    </row>
    <row r="104" spans="1:5" x14ac:dyDescent="0.55000000000000004">
      <c r="A104" s="3">
        <v>13.9</v>
      </c>
      <c r="B104" s="3">
        <v>1.1559999999999999</v>
      </c>
      <c r="C104" s="3">
        <v>496.90001000000001</v>
      </c>
      <c r="D104" s="4">
        <f t="shared" si="3"/>
        <v>7.5819819819819834E-3</v>
      </c>
      <c r="E104" s="4">
        <f t="shared" si="4"/>
        <v>8.2816668333333343</v>
      </c>
    </row>
    <row r="105" spans="1:5" x14ac:dyDescent="0.55000000000000004">
      <c r="A105" s="3">
        <v>14</v>
      </c>
      <c r="B105" s="3">
        <v>1.1644000000000001</v>
      </c>
      <c r="C105" s="3">
        <v>500.12</v>
      </c>
      <c r="D105" s="4">
        <f t="shared" si="3"/>
        <v>7.657657657657661E-3</v>
      </c>
      <c r="E105" s="4">
        <f t="shared" si="4"/>
        <v>8.3353333333333328</v>
      </c>
    </row>
    <row r="106" spans="1:5" x14ac:dyDescent="0.55000000000000004">
      <c r="A106" s="3">
        <v>14.1</v>
      </c>
      <c r="B106" s="3">
        <v>1.1728000000000001</v>
      </c>
      <c r="C106" s="3">
        <v>503.33999</v>
      </c>
      <c r="D106" s="4">
        <f t="shared" si="3"/>
        <v>7.7333333333333368E-3</v>
      </c>
      <c r="E106" s="4">
        <f t="shared" si="4"/>
        <v>8.3889998333333331</v>
      </c>
    </row>
    <row r="107" spans="1:5" x14ac:dyDescent="0.55000000000000004">
      <c r="A107" s="3">
        <v>14.2</v>
      </c>
      <c r="B107" s="3">
        <v>1.1811</v>
      </c>
      <c r="C107" s="3">
        <v>506.55998</v>
      </c>
      <c r="D107" s="4">
        <f t="shared" si="3"/>
        <v>7.8081081081081121E-3</v>
      </c>
      <c r="E107" s="4">
        <f t="shared" si="4"/>
        <v>8.4426663333333334</v>
      </c>
    </row>
    <row r="108" spans="1:5" x14ac:dyDescent="0.55000000000000004">
      <c r="A108" s="3">
        <v>14.3</v>
      </c>
      <c r="B108" s="3">
        <v>1.1894</v>
      </c>
      <c r="C108" s="3">
        <v>509.77996999999999</v>
      </c>
      <c r="D108" s="4">
        <f t="shared" si="3"/>
        <v>7.8828828828828856E-3</v>
      </c>
      <c r="E108" s="4">
        <f t="shared" si="4"/>
        <v>8.4963328333333337</v>
      </c>
    </row>
    <row r="109" spans="1:5" x14ac:dyDescent="0.55000000000000004">
      <c r="A109" s="3">
        <v>14.4</v>
      </c>
      <c r="B109" s="3">
        <v>1.1977</v>
      </c>
      <c r="C109" s="3">
        <v>512.20000000000005</v>
      </c>
      <c r="D109" s="4">
        <f t="shared" si="3"/>
        <v>7.9576576576576609E-3</v>
      </c>
      <c r="E109" s="4">
        <f t="shared" si="4"/>
        <v>8.5366666666666671</v>
      </c>
    </row>
    <row r="110" spans="1:5" x14ac:dyDescent="0.55000000000000004">
      <c r="A110" s="3">
        <v>14.5</v>
      </c>
      <c r="B110" s="3">
        <v>1.2060999999999999</v>
      </c>
      <c r="C110" s="3">
        <v>515.41998999999998</v>
      </c>
      <c r="D110" s="4">
        <f t="shared" si="3"/>
        <v>8.033333333333335E-3</v>
      </c>
      <c r="E110" s="4">
        <f t="shared" si="4"/>
        <v>8.5903331666666656</v>
      </c>
    </row>
    <row r="111" spans="1:5" x14ac:dyDescent="0.55000000000000004">
      <c r="A111" s="3">
        <v>14.6</v>
      </c>
      <c r="B111" s="3">
        <v>1.2143999999999999</v>
      </c>
      <c r="C111" s="3">
        <v>518.63998000000004</v>
      </c>
      <c r="D111" s="4">
        <f t="shared" si="3"/>
        <v>8.1081081081081103E-3</v>
      </c>
      <c r="E111" s="4">
        <f t="shared" si="4"/>
        <v>8.6439996666666676</v>
      </c>
    </row>
    <row r="112" spans="1:5" x14ac:dyDescent="0.55000000000000004">
      <c r="A112" s="3">
        <v>14.7</v>
      </c>
      <c r="B112" s="3">
        <v>1.2226999999999999</v>
      </c>
      <c r="C112" s="3">
        <v>521.85996999999998</v>
      </c>
      <c r="D112" s="4">
        <f t="shared" si="3"/>
        <v>8.1828828828828856E-3</v>
      </c>
      <c r="E112" s="4">
        <f t="shared" si="4"/>
        <v>8.6976661666666661</v>
      </c>
    </row>
    <row r="113" spans="1:5" x14ac:dyDescent="0.55000000000000004">
      <c r="A113" s="3">
        <v>14.8</v>
      </c>
      <c r="B113" s="3">
        <v>1.2310000000000001</v>
      </c>
      <c r="C113" s="3">
        <v>524.28</v>
      </c>
      <c r="D113" s="4">
        <f t="shared" si="3"/>
        <v>8.2576576576576608E-3</v>
      </c>
      <c r="E113" s="4">
        <f t="shared" si="4"/>
        <v>8.7379999999999995</v>
      </c>
    </row>
    <row r="114" spans="1:5" x14ac:dyDescent="0.55000000000000004">
      <c r="A114" s="3">
        <v>14.9</v>
      </c>
      <c r="B114" s="3">
        <v>1.2394000000000001</v>
      </c>
      <c r="C114" s="3">
        <v>527.49999000000003</v>
      </c>
      <c r="D114" s="4">
        <f t="shared" si="3"/>
        <v>8.3333333333333367E-3</v>
      </c>
      <c r="E114" s="4">
        <f t="shared" si="4"/>
        <v>8.7916664999999998</v>
      </c>
    </row>
    <row r="115" spans="1:5" x14ac:dyDescent="0.55000000000000004">
      <c r="A115" s="3">
        <v>15</v>
      </c>
      <c r="B115" s="3">
        <v>1.2478</v>
      </c>
      <c r="C115" s="3">
        <v>529.92001000000005</v>
      </c>
      <c r="D115" s="4">
        <f t="shared" si="3"/>
        <v>8.4090090090090126E-3</v>
      </c>
      <c r="E115" s="4">
        <f t="shared" si="4"/>
        <v>8.832000166666667</v>
      </c>
    </row>
    <row r="116" spans="1:5" x14ac:dyDescent="0.55000000000000004">
      <c r="A116" s="3">
        <v>15.1</v>
      </c>
      <c r="B116" s="3">
        <v>1.2561</v>
      </c>
      <c r="C116" s="3">
        <v>532.32997999999998</v>
      </c>
      <c r="D116" s="4">
        <f t="shared" si="3"/>
        <v>8.4837837837837861E-3</v>
      </c>
      <c r="E116" s="4">
        <f t="shared" si="4"/>
        <v>8.8721663333333325</v>
      </c>
    </row>
    <row r="117" spans="1:5" x14ac:dyDescent="0.55000000000000004">
      <c r="A117" s="3">
        <v>15.2</v>
      </c>
      <c r="B117" s="3">
        <v>1.2644</v>
      </c>
      <c r="C117" s="3">
        <v>534.75</v>
      </c>
      <c r="D117" s="4">
        <f t="shared" si="3"/>
        <v>8.5585585585585613E-3</v>
      </c>
      <c r="E117" s="4">
        <f t="shared" si="4"/>
        <v>8.9124999999999996</v>
      </c>
    </row>
    <row r="118" spans="1:5" x14ac:dyDescent="0.55000000000000004">
      <c r="A118" s="3">
        <v>15.3</v>
      </c>
      <c r="B118" s="3">
        <v>1.2726999999999999</v>
      </c>
      <c r="C118" s="3">
        <v>537.16002000000003</v>
      </c>
      <c r="D118" s="4">
        <f t="shared" si="3"/>
        <v>8.6333333333333366E-3</v>
      </c>
      <c r="E118" s="4">
        <f t="shared" si="4"/>
        <v>8.9526669999999999</v>
      </c>
    </row>
    <row r="119" spans="1:5" x14ac:dyDescent="0.55000000000000004">
      <c r="A119" s="3">
        <v>15.4</v>
      </c>
      <c r="B119" s="3">
        <v>1.2810999999999999</v>
      </c>
      <c r="C119" s="3">
        <v>538.78002000000004</v>
      </c>
      <c r="D119" s="4">
        <f t="shared" si="3"/>
        <v>8.7090090090090107E-3</v>
      </c>
      <c r="E119" s="4">
        <f t="shared" si="4"/>
        <v>8.979667000000001</v>
      </c>
    </row>
    <row r="120" spans="1:5" x14ac:dyDescent="0.55000000000000004">
      <c r="A120" s="3">
        <v>15.5</v>
      </c>
      <c r="B120" s="3">
        <v>1.2894000000000001</v>
      </c>
      <c r="C120" s="3">
        <v>541.18997999999999</v>
      </c>
      <c r="D120" s="4">
        <f t="shared" si="3"/>
        <v>8.7837837837837877E-3</v>
      </c>
      <c r="E120" s="4">
        <f t="shared" si="4"/>
        <v>9.0198330000000002</v>
      </c>
    </row>
    <row r="121" spans="1:5" x14ac:dyDescent="0.55000000000000004">
      <c r="A121" s="3">
        <v>15.6</v>
      </c>
      <c r="B121" s="3">
        <v>1.2977000000000001</v>
      </c>
      <c r="C121" s="3">
        <v>542.79998000000001</v>
      </c>
      <c r="D121" s="4">
        <f t="shared" si="3"/>
        <v>8.858558558558563E-3</v>
      </c>
      <c r="E121" s="4">
        <f t="shared" si="4"/>
        <v>9.0466663333333326</v>
      </c>
    </row>
    <row r="122" spans="1:5" x14ac:dyDescent="0.55000000000000004">
      <c r="A122" s="3">
        <v>15.7</v>
      </c>
      <c r="B122" s="3">
        <v>1.306</v>
      </c>
      <c r="C122" s="3">
        <v>545.22</v>
      </c>
      <c r="D122" s="4">
        <f t="shared" si="3"/>
        <v>8.9333333333333365E-3</v>
      </c>
      <c r="E122" s="4">
        <f t="shared" si="4"/>
        <v>9.0869999999999997</v>
      </c>
    </row>
    <row r="123" spans="1:5" x14ac:dyDescent="0.55000000000000004">
      <c r="A123" s="3">
        <v>15.8</v>
      </c>
      <c r="B123" s="3">
        <v>1.3144</v>
      </c>
      <c r="C123" s="3">
        <v>546.02003000000002</v>
      </c>
      <c r="D123" s="4">
        <f t="shared" si="3"/>
        <v>9.0090090090090124E-3</v>
      </c>
      <c r="E123" s="4">
        <f t="shared" si="4"/>
        <v>9.1003338333333339</v>
      </c>
    </row>
    <row r="124" spans="1:5" x14ac:dyDescent="0.55000000000000004">
      <c r="A124" s="3">
        <v>15.9</v>
      </c>
      <c r="B124" s="3">
        <v>1.3228</v>
      </c>
      <c r="C124" s="3">
        <v>547.63001999999994</v>
      </c>
      <c r="D124" s="4">
        <f t="shared" si="3"/>
        <v>9.0846846846846883E-3</v>
      </c>
      <c r="E124" s="4">
        <f t="shared" si="4"/>
        <v>9.1271669999999983</v>
      </c>
    </row>
    <row r="125" spans="1:5" x14ac:dyDescent="0.55000000000000004">
      <c r="A125" s="3">
        <v>16</v>
      </c>
      <c r="B125" s="3">
        <v>1.3310999999999999</v>
      </c>
      <c r="C125" s="3">
        <v>549.25001999999995</v>
      </c>
      <c r="D125" s="4">
        <f t="shared" si="3"/>
        <v>9.1594594594594618E-3</v>
      </c>
      <c r="E125" s="4">
        <f t="shared" si="4"/>
        <v>9.1541669999999993</v>
      </c>
    </row>
    <row r="126" spans="1:5" x14ac:dyDescent="0.55000000000000004">
      <c r="A126" s="3">
        <v>16.100000000000001</v>
      </c>
      <c r="B126" s="3">
        <v>1.3393999999999999</v>
      </c>
      <c r="C126" s="3">
        <v>550.04998999999998</v>
      </c>
      <c r="D126" s="4">
        <f t="shared" si="3"/>
        <v>9.2342342342342371E-3</v>
      </c>
      <c r="E126" s="4">
        <f t="shared" si="4"/>
        <v>9.1674998333333324</v>
      </c>
    </row>
    <row r="127" spans="1:5" x14ac:dyDescent="0.55000000000000004">
      <c r="A127" s="3">
        <v>16.2</v>
      </c>
      <c r="B127" s="3">
        <v>1.3476999999999999</v>
      </c>
      <c r="C127" s="3">
        <v>550.86001999999996</v>
      </c>
      <c r="D127" s="4">
        <f t="shared" si="3"/>
        <v>9.3090090090090106E-3</v>
      </c>
      <c r="E127" s="4">
        <f t="shared" si="4"/>
        <v>9.1810003333333334</v>
      </c>
    </row>
    <row r="128" spans="1:5" x14ac:dyDescent="0.55000000000000004">
      <c r="A128" s="3">
        <v>16.3</v>
      </c>
      <c r="B128" s="3">
        <v>1.3561000000000001</v>
      </c>
      <c r="C128" s="3">
        <v>551.65998999999999</v>
      </c>
      <c r="D128" s="4">
        <f t="shared" si="3"/>
        <v>9.3846846846846882E-3</v>
      </c>
      <c r="E128" s="4">
        <f t="shared" si="4"/>
        <v>9.1943331666666666</v>
      </c>
    </row>
    <row r="129" spans="1:5" x14ac:dyDescent="0.55000000000000004">
      <c r="A129" s="3">
        <v>16.399999999999999</v>
      </c>
      <c r="B129" s="3">
        <v>1.3644000000000001</v>
      </c>
      <c r="C129" s="3">
        <v>551.65998999999999</v>
      </c>
      <c r="D129" s="4">
        <f t="shared" si="3"/>
        <v>9.4594594594594635E-3</v>
      </c>
      <c r="E129" s="4">
        <f t="shared" si="4"/>
        <v>9.1943331666666666</v>
      </c>
    </row>
    <row r="130" spans="1:5" x14ac:dyDescent="0.55000000000000004">
      <c r="A130" s="3">
        <v>16.5</v>
      </c>
      <c r="B130" s="3">
        <v>1.3727</v>
      </c>
      <c r="C130" s="3">
        <v>551.65998999999999</v>
      </c>
      <c r="D130" s="4">
        <f t="shared" si="3"/>
        <v>9.534234234234237E-3</v>
      </c>
      <c r="E130" s="4">
        <f t="shared" si="4"/>
        <v>9.1943331666666666</v>
      </c>
    </row>
    <row r="131" spans="1:5" x14ac:dyDescent="0.55000000000000004">
      <c r="A131" s="3">
        <v>16.600000000000001</v>
      </c>
      <c r="B131" s="3">
        <v>1.381</v>
      </c>
      <c r="C131" s="3">
        <v>551.65998999999999</v>
      </c>
      <c r="D131" s="4">
        <f t="shared" si="3"/>
        <v>9.6090090090090122E-3</v>
      </c>
      <c r="E131" s="4">
        <f t="shared" si="4"/>
        <v>9.1943331666666666</v>
      </c>
    </row>
    <row r="132" spans="1:5" x14ac:dyDescent="0.55000000000000004">
      <c r="A132" s="3">
        <v>16.7</v>
      </c>
      <c r="B132" s="3">
        <v>1.3894</v>
      </c>
      <c r="C132" s="3">
        <v>550.86001999999996</v>
      </c>
      <c r="D132" s="4">
        <f t="shared" ref="D132:D146" si="5">((B132/$L$3))-0.00283243243243243</f>
        <v>9.6846846846846881E-3</v>
      </c>
      <c r="E132" s="4">
        <f t="shared" si="4"/>
        <v>9.1810003333333334</v>
      </c>
    </row>
    <row r="133" spans="1:5" x14ac:dyDescent="0.55000000000000004">
      <c r="A133" s="3">
        <v>16.8</v>
      </c>
      <c r="B133" s="3">
        <v>1.3977999999999999</v>
      </c>
      <c r="C133" s="3">
        <v>550.04998999999998</v>
      </c>
      <c r="D133" s="4">
        <f t="shared" si="5"/>
        <v>9.7603603603603623E-3</v>
      </c>
      <c r="E133" s="4">
        <f t="shared" si="4"/>
        <v>9.1674998333333324</v>
      </c>
    </row>
    <row r="134" spans="1:5" x14ac:dyDescent="0.55000000000000004">
      <c r="A134" s="3">
        <v>16.899999999999999</v>
      </c>
      <c r="B134" s="3">
        <v>1.4060999999999999</v>
      </c>
      <c r="C134" s="3">
        <v>549.25001999999995</v>
      </c>
      <c r="D134" s="4">
        <f t="shared" si="5"/>
        <v>9.8351351351351375E-3</v>
      </c>
      <c r="E134" s="4">
        <f t="shared" si="4"/>
        <v>9.1541669999999993</v>
      </c>
    </row>
    <row r="135" spans="1:5" x14ac:dyDescent="0.55000000000000004">
      <c r="A135" s="3">
        <v>17</v>
      </c>
      <c r="B135" s="3">
        <v>1.4144000000000001</v>
      </c>
      <c r="C135" s="3">
        <v>547.63001999999994</v>
      </c>
      <c r="D135" s="4">
        <f t="shared" si="5"/>
        <v>9.9099099099099145E-3</v>
      </c>
      <c r="E135" s="4">
        <f t="shared" si="4"/>
        <v>9.1271669999999983</v>
      </c>
    </row>
    <row r="136" spans="1:5" x14ac:dyDescent="0.55000000000000004">
      <c r="A136" s="3">
        <v>17.100000000000001</v>
      </c>
      <c r="B136" s="3">
        <v>1.4227000000000001</v>
      </c>
      <c r="C136" s="3">
        <v>546.02003000000002</v>
      </c>
      <c r="D136" s="4">
        <f t="shared" si="5"/>
        <v>9.984684684684688E-3</v>
      </c>
      <c r="E136" s="4">
        <f t="shared" si="4"/>
        <v>9.1003338333333339</v>
      </c>
    </row>
    <row r="137" spans="1:5" x14ac:dyDescent="0.55000000000000004">
      <c r="A137" s="3">
        <v>17.2</v>
      </c>
      <c r="B137" s="3">
        <v>1.4311</v>
      </c>
      <c r="C137" s="3">
        <v>543.61000999999999</v>
      </c>
      <c r="D137" s="4">
        <f t="shared" si="5"/>
        <v>1.0060360360360364E-2</v>
      </c>
      <c r="E137" s="4">
        <f t="shared" si="4"/>
        <v>9.0601668333333336</v>
      </c>
    </row>
    <row r="138" spans="1:5" x14ac:dyDescent="0.55000000000000004">
      <c r="A138" s="3">
        <v>17.3</v>
      </c>
      <c r="B138" s="3">
        <v>1.4394</v>
      </c>
      <c r="C138" s="3">
        <v>540.39000999999996</v>
      </c>
      <c r="D138" s="4">
        <f t="shared" si="5"/>
        <v>1.0135135135135137E-2</v>
      </c>
      <c r="E138" s="4">
        <f t="shared" si="4"/>
        <v>9.0065001666666653</v>
      </c>
    </row>
    <row r="139" spans="1:5" x14ac:dyDescent="0.55000000000000004">
      <c r="A139" s="3">
        <v>17.399999999999999</v>
      </c>
      <c r="B139" s="3">
        <v>1.4477</v>
      </c>
      <c r="C139" s="3">
        <v>537.96999000000005</v>
      </c>
      <c r="D139" s="4">
        <f t="shared" si="5"/>
        <v>1.0209909909909913E-2</v>
      </c>
      <c r="E139" s="4">
        <f t="shared" si="4"/>
        <v>8.9661665000000017</v>
      </c>
    </row>
    <row r="140" spans="1:5" x14ac:dyDescent="0.55000000000000004">
      <c r="A140" s="3">
        <v>17.5</v>
      </c>
      <c r="B140" s="3">
        <v>1.456</v>
      </c>
      <c r="C140" s="3">
        <v>534.75</v>
      </c>
      <c r="D140" s="4">
        <f t="shared" si="5"/>
        <v>1.0284684684684688E-2</v>
      </c>
      <c r="E140" s="4">
        <f t="shared" si="4"/>
        <v>8.9124999999999996</v>
      </c>
    </row>
    <row r="141" spans="1:5" x14ac:dyDescent="0.55000000000000004">
      <c r="A141" s="3">
        <v>17.600000000000001</v>
      </c>
      <c r="B141" s="3">
        <v>1.4643999999999999</v>
      </c>
      <c r="C141" s="3">
        <v>530.71997999999996</v>
      </c>
      <c r="D141" s="4">
        <f t="shared" si="5"/>
        <v>1.0360360360360362E-2</v>
      </c>
      <c r="E141" s="4">
        <f t="shared" si="4"/>
        <v>8.8453330000000001</v>
      </c>
    </row>
    <row r="142" spans="1:5" x14ac:dyDescent="0.55000000000000004">
      <c r="A142" s="3">
        <v>17.7</v>
      </c>
      <c r="B142" s="3">
        <v>1.4728000000000001</v>
      </c>
      <c r="C142" s="3">
        <v>525.88999000000001</v>
      </c>
      <c r="D142" s="4">
        <f t="shared" si="5"/>
        <v>1.043603603603604E-2</v>
      </c>
      <c r="E142" s="4">
        <f t="shared" si="4"/>
        <v>8.7648331666666675</v>
      </c>
    </row>
    <row r="143" spans="1:5" x14ac:dyDescent="0.55000000000000004">
      <c r="A143" s="3">
        <v>17.8</v>
      </c>
      <c r="B143" s="3">
        <v>1.4811000000000001</v>
      </c>
      <c r="C143" s="3">
        <v>520.24998000000005</v>
      </c>
      <c r="D143" s="4">
        <f t="shared" si="5"/>
        <v>1.0510810810810815E-2</v>
      </c>
      <c r="E143" s="4">
        <f t="shared" si="4"/>
        <v>8.670833</v>
      </c>
    </row>
    <row r="144" spans="1:5" x14ac:dyDescent="0.55000000000000004">
      <c r="A144" s="3">
        <v>17.899999999999999</v>
      </c>
      <c r="B144" s="3">
        <v>1.4894000000000001</v>
      </c>
      <c r="C144" s="3">
        <v>513.80998999999997</v>
      </c>
      <c r="D144" s="4">
        <f t="shared" si="5"/>
        <v>1.0585585585585588E-2</v>
      </c>
      <c r="E144" s="4">
        <f t="shared" si="4"/>
        <v>8.5634998333333332</v>
      </c>
    </row>
    <row r="145" spans="1:5" x14ac:dyDescent="0.55000000000000004">
      <c r="A145" s="3">
        <v>18</v>
      </c>
      <c r="B145" s="3">
        <v>1.4977</v>
      </c>
      <c r="C145" s="3">
        <v>504.94999000000001</v>
      </c>
      <c r="D145" s="4">
        <f t="shared" si="5"/>
        <v>1.0660360360360364E-2</v>
      </c>
      <c r="E145" s="4">
        <f t="shared" si="4"/>
        <v>8.4158331666666673</v>
      </c>
    </row>
    <row r="146" spans="1:5" x14ac:dyDescent="0.55000000000000004">
      <c r="D146" s="4"/>
      <c r="E146" s="4"/>
    </row>
    <row r="147" spans="1:5" x14ac:dyDescent="0.55000000000000004">
      <c r="D147" s="4"/>
      <c r="E147" s="4"/>
    </row>
    <row r="148" spans="1:5" x14ac:dyDescent="0.55000000000000004">
      <c r="D148" s="4"/>
      <c r="E148" s="4"/>
    </row>
    <row r="149" spans="1:5" x14ac:dyDescent="0.55000000000000004">
      <c r="D149" s="4"/>
      <c r="E149" s="4"/>
    </row>
    <row r="150" spans="1:5" x14ac:dyDescent="0.55000000000000004">
      <c r="D150" s="4"/>
      <c r="E150" s="4"/>
    </row>
    <row r="151" spans="1:5" x14ac:dyDescent="0.55000000000000004">
      <c r="D151" s="4"/>
      <c r="E151" s="4"/>
    </row>
    <row r="152" spans="1:5" x14ac:dyDescent="0.55000000000000004">
      <c r="D152" s="4"/>
      <c r="E152" s="4"/>
    </row>
    <row r="153" spans="1:5" x14ac:dyDescent="0.55000000000000004">
      <c r="D153" s="4"/>
      <c r="E153" s="4"/>
    </row>
    <row r="154" spans="1:5" x14ac:dyDescent="0.55000000000000004">
      <c r="D154" s="4"/>
      <c r="E154" s="4"/>
    </row>
    <row r="155" spans="1:5" x14ac:dyDescent="0.55000000000000004">
      <c r="D155" s="4"/>
      <c r="E155" s="4"/>
    </row>
    <row r="156" spans="1:5" x14ac:dyDescent="0.55000000000000004">
      <c r="D156" s="4"/>
      <c r="E156" s="4"/>
    </row>
    <row r="157" spans="1:5" x14ac:dyDescent="0.55000000000000004">
      <c r="D157" s="4"/>
      <c r="E157" s="4"/>
    </row>
    <row r="158" spans="1:5" x14ac:dyDescent="0.55000000000000004">
      <c r="D158" s="4"/>
      <c r="E158" s="4"/>
    </row>
    <row r="159" spans="1:5" x14ac:dyDescent="0.55000000000000004">
      <c r="D159" s="4"/>
      <c r="E159" s="4"/>
    </row>
    <row r="160" spans="1:5" x14ac:dyDescent="0.55000000000000004">
      <c r="D160" s="4"/>
      <c r="E160" s="4"/>
    </row>
    <row r="161" spans="4:5" x14ac:dyDescent="0.55000000000000004">
      <c r="D161" s="4"/>
      <c r="E161" s="4"/>
    </row>
    <row r="162" spans="4:5" x14ac:dyDescent="0.55000000000000004">
      <c r="D162" s="4"/>
      <c r="E162" s="4"/>
    </row>
    <row r="163" spans="4:5" x14ac:dyDescent="0.55000000000000004">
      <c r="D163" s="4"/>
      <c r="E163" s="4"/>
    </row>
    <row r="164" spans="4:5" x14ac:dyDescent="0.55000000000000004">
      <c r="D164" s="4"/>
      <c r="E164" s="4"/>
    </row>
    <row r="165" spans="4:5" x14ac:dyDescent="0.55000000000000004">
      <c r="D165" s="4"/>
      <c r="E165" s="4"/>
    </row>
    <row r="166" spans="4:5" x14ac:dyDescent="0.55000000000000004">
      <c r="D166" s="4"/>
      <c r="E166" s="4"/>
    </row>
    <row r="167" spans="4:5" x14ac:dyDescent="0.55000000000000004">
      <c r="D167" s="4"/>
      <c r="E167" s="4"/>
    </row>
    <row r="168" spans="4:5" x14ac:dyDescent="0.55000000000000004">
      <c r="D168" s="4"/>
      <c r="E168" s="4"/>
    </row>
    <row r="169" spans="4:5" x14ac:dyDescent="0.55000000000000004">
      <c r="D169" s="4"/>
      <c r="E169" s="4"/>
    </row>
    <row r="170" spans="4:5" x14ac:dyDescent="0.55000000000000004">
      <c r="D170" s="4"/>
      <c r="E170" s="4"/>
    </row>
    <row r="171" spans="4:5" x14ac:dyDescent="0.55000000000000004">
      <c r="D171" s="4"/>
      <c r="E171" s="4"/>
    </row>
    <row r="172" spans="4:5" x14ac:dyDescent="0.55000000000000004">
      <c r="D172" s="4"/>
      <c r="E172" s="4"/>
    </row>
    <row r="173" spans="4:5" x14ac:dyDescent="0.55000000000000004">
      <c r="D173" s="4"/>
      <c r="E173" s="4"/>
    </row>
    <row r="174" spans="4:5" x14ac:dyDescent="0.55000000000000004">
      <c r="D174" s="4"/>
      <c r="E174" s="4"/>
    </row>
    <row r="175" spans="4:5" x14ac:dyDescent="0.55000000000000004">
      <c r="D175" s="4"/>
      <c r="E175" s="4"/>
    </row>
    <row r="176" spans="4:5" x14ac:dyDescent="0.55000000000000004">
      <c r="D176" s="4"/>
      <c r="E176" s="4"/>
    </row>
    <row r="177" spans="4:5" x14ac:dyDescent="0.55000000000000004">
      <c r="D177" s="4"/>
      <c r="E177" s="4"/>
    </row>
    <row r="178" spans="4:5" x14ac:dyDescent="0.55000000000000004">
      <c r="D178" s="4"/>
      <c r="E178" s="4"/>
    </row>
    <row r="179" spans="4:5" x14ac:dyDescent="0.55000000000000004">
      <c r="D179" s="4"/>
      <c r="E179" s="4"/>
    </row>
    <row r="180" spans="4:5" x14ac:dyDescent="0.55000000000000004">
      <c r="D180" s="4"/>
      <c r="E180" s="4"/>
    </row>
    <row r="181" spans="4:5" x14ac:dyDescent="0.55000000000000004">
      <c r="D181" s="4"/>
      <c r="E181" s="4"/>
    </row>
    <row r="182" spans="4:5" x14ac:dyDescent="0.55000000000000004">
      <c r="D182" s="4"/>
      <c r="E182" s="4"/>
    </row>
    <row r="183" spans="4:5" x14ac:dyDescent="0.55000000000000004">
      <c r="D183" s="4"/>
      <c r="E183" s="4"/>
    </row>
    <row r="184" spans="4:5" x14ac:dyDescent="0.55000000000000004">
      <c r="D184" s="4"/>
      <c r="E184" s="4"/>
    </row>
    <row r="185" spans="4:5" x14ac:dyDescent="0.55000000000000004">
      <c r="D185" s="4"/>
      <c r="E185" s="4"/>
    </row>
    <row r="186" spans="4:5" x14ac:dyDescent="0.55000000000000004">
      <c r="D186" s="4"/>
      <c r="E186" s="4"/>
    </row>
    <row r="187" spans="4:5" x14ac:dyDescent="0.55000000000000004">
      <c r="D187" s="4"/>
      <c r="E187" s="4"/>
    </row>
    <row r="188" spans="4:5" x14ac:dyDescent="0.55000000000000004">
      <c r="D188" s="4"/>
      <c r="E188" s="4"/>
    </row>
    <row r="189" spans="4:5" x14ac:dyDescent="0.55000000000000004">
      <c r="D189" s="4"/>
      <c r="E189" s="4"/>
    </row>
    <row r="190" spans="4:5" x14ac:dyDescent="0.55000000000000004">
      <c r="D190" s="4"/>
      <c r="E190" s="4"/>
    </row>
    <row r="191" spans="4:5" x14ac:dyDescent="0.55000000000000004">
      <c r="D191" s="4"/>
      <c r="E191" s="4"/>
    </row>
    <row r="192" spans="4:5" x14ac:dyDescent="0.55000000000000004">
      <c r="D192" s="4"/>
      <c r="E192" s="4"/>
    </row>
    <row r="193" spans="4:5" x14ac:dyDescent="0.55000000000000004">
      <c r="D193" s="4"/>
      <c r="E193" s="4"/>
    </row>
    <row r="194" spans="4:5" x14ac:dyDescent="0.55000000000000004">
      <c r="D194" s="4"/>
      <c r="E194" s="4"/>
    </row>
    <row r="195" spans="4:5" x14ac:dyDescent="0.55000000000000004">
      <c r="D195" s="4"/>
      <c r="E195" s="4"/>
    </row>
    <row r="196" spans="4:5" x14ac:dyDescent="0.55000000000000004">
      <c r="D196" s="4"/>
      <c r="E196" s="4"/>
    </row>
    <row r="197" spans="4:5" x14ac:dyDescent="0.55000000000000004">
      <c r="D197" s="4"/>
      <c r="E197" s="4"/>
    </row>
    <row r="198" spans="4:5" x14ac:dyDescent="0.55000000000000004">
      <c r="D198" s="4"/>
      <c r="E198" s="4"/>
    </row>
    <row r="199" spans="4:5" x14ac:dyDescent="0.55000000000000004">
      <c r="D199" s="4"/>
      <c r="E199" s="4"/>
    </row>
    <row r="200" spans="4:5" x14ac:dyDescent="0.55000000000000004">
      <c r="D200" s="4"/>
      <c r="E200" s="4"/>
    </row>
    <row r="201" spans="4:5" x14ac:dyDescent="0.55000000000000004">
      <c r="D201" s="4"/>
      <c r="E201" s="4"/>
    </row>
    <row r="202" spans="4:5" x14ac:dyDescent="0.55000000000000004">
      <c r="D202" s="4"/>
      <c r="E202" s="4"/>
    </row>
    <row r="203" spans="4:5" x14ac:dyDescent="0.55000000000000004">
      <c r="D203" s="4"/>
      <c r="E203" s="4"/>
    </row>
    <row r="204" spans="4:5" x14ac:dyDescent="0.55000000000000004">
      <c r="D204" s="4"/>
      <c r="E204" s="4"/>
    </row>
    <row r="205" spans="4:5" x14ac:dyDescent="0.55000000000000004">
      <c r="D205" s="4"/>
      <c r="E205" s="4"/>
    </row>
    <row r="206" spans="4:5" x14ac:dyDescent="0.55000000000000004">
      <c r="D206" s="4"/>
      <c r="E206" s="4"/>
    </row>
    <row r="207" spans="4:5" x14ac:dyDescent="0.55000000000000004">
      <c r="D207" s="4"/>
      <c r="E207" s="4"/>
    </row>
    <row r="208" spans="4:5" x14ac:dyDescent="0.55000000000000004">
      <c r="D208" s="4"/>
      <c r="E208" s="4"/>
    </row>
    <row r="209" spans="4:5" x14ac:dyDescent="0.55000000000000004">
      <c r="D209" s="4"/>
      <c r="E209" s="4"/>
    </row>
    <row r="210" spans="4:5" x14ac:dyDescent="0.55000000000000004">
      <c r="D210" s="4"/>
      <c r="E210" s="4"/>
    </row>
    <row r="211" spans="4:5" x14ac:dyDescent="0.55000000000000004">
      <c r="D211" s="4"/>
      <c r="E211" s="4"/>
    </row>
    <row r="212" spans="4:5" x14ac:dyDescent="0.55000000000000004">
      <c r="D212" s="4"/>
      <c r="E212" s="4"/>
    </row>
    <row r="213" spans="4:5" x14ac:dyDescent="0.55000000000000004">
      <c r="D213" s="4"/>
      <c r="E213" s="4"/>
    </row>
    <row r="214" spans="4:5" x14ac:dyDescent="0.55000000000000004">
      <c r="D214" s="4"/>
      <c r="E214" s="4"/>
    </row>
    <row r="215" spans="4:5" x14ac:dyDescent="0.55000000000000004">
      <c r="D215" s="4"/>
      <c r="E215" s="4"/>
    </row>
    <row r="216" spans="4:5" x14ac:dyDescent="0.55000000000000004">
      <c r="D216" s="4"/>
      <c r="E216" s="4"/>
    </row>
    <row r="217" spans="4:5" x14ac:dyDescent="0.55000000000000004">
      <c r="D217" s="4"/>
      <c r="E217" s="4"/>
    </row>
    <row r="218" spans="4:5" x14ac:dyDescent="0.55000000000000004">
      <c r="D218" s="4"/>
      <c r="E218" s="4"/>
    </row>
    <row r="219" spans="4:5" x14ac:dyDescent="0.55000000000000004">
      <c r="D219" s="4"/>
      <c r="E219" s="4"/>
    </row>
    <row r="220" spans="4:5" x14ac:dyDescent="0.55000000000000004">
      <c r="D220" s="4"/>
      <c r="E220" s="4"/>
    </row>
    <row r="221" spans="4:5" x14ac:dyDescent="0.55000000000000004">
      <c r="D221" s="4"/>
      <c r="E221" s="4"/>
    </row>
    <row r="222" spans="4:5" x14ac:dyDescent="0.55000000000000004">
      <c r="D222" s="4"/>
      <c r="E222" s="4"/>
    </row>
    <row r="223" spans="4:5" x14ac:dyDescent="0.55000000000000004">
      <c r="D223" s="4"/>
      <c r="E223" s="4"/>
    </row>
    <row r="224" spans="4:5" x14ac:dyDescent="0.55000000000000004">
      <c r="D224" s="4"/>
      <c r="E224" s="4"/>
    </row>
    <row r="225" spans="4:5" x14ac:dyDescent="0.55000000000000004">
      <c r="D225" s="4"/>
      <c r="E225" s="4"/>
    </row>
    <row r="226" spans="4:5" x14ac:dyDescent="0.55000000000000004">
      <c r="D226" s="4"/>
      <c r="E226" s="4"/>
    </row>
    <row r="227" spans="4:5" x14ac:dyDescent="0.55000000000000004">
      <c r="D227" s="4"/>
      <c r="E227" s="4"/>
    </row>
    <row r="228" spans="4:5" x14ac:dyDescent="0.55000000000000004">
      <c r="D228" s="4"/>
      <c r="E228" s="4"/>
    </row>
    <row r="229" spans="4:5" x14ac:dyDescent="0.55000000000000004">
      <c r="D229" s="4"/>
      <c r="E229" s="4"/>
    </row>
    <row r="230" spans="4:5" x14ac:dyDescent="0.55000000000000004">
      <c r="D230" s="4"/>
      <c r="E230" s="4"/>
    </row>
    <row r="231" spans="4:5" x14ac:dyDescent="0.55000000000000004">
      <c r="D231" s="4"/>
      <c r="E231" s="4"/>
    </row>
    <row r="232" spans="4:5" x14ac:dyDescent="0.55000000000000004">
      <c r="D232" s="4"/>
      <c r="E232" s="4"/>
    </row>
    <row r="233" spans="4:5" x14ac:dyDescent="0.55000000000000004">
      <c r="D233" s="4"/>
      <c r="E233" s="4"/>
    </row>
    <row r="234" spans="4:5" x14ac:dyDescent="0.55000000000000004">
      <c r="D234" s="4"/>
      <c r="E234" s="4"/>
    </row>
    <row r="235" spans="4:5" x14ac:dyDescent="0.55000000000000004">
      <c r="D235" s="4"/>
      <c r="E235" s="4"/>
    </row>
    <row r="236" spans="4:5" x14ac:dyDescent="0.55000000000000004">
      <c r="D236" s="4"/>
      <c r="E236" s="4"/>
    </row>
    <row r="237" spans="4:5" x14ac:dyDescent="0.55000000000000004">
      <c r="D237" s="4"/>
      <c r="E237" s="4"/>
    </row>
    <row r="238" spans="4:5" x14ac:dyDescent="0.55000000000000004">
      <c r="D238" s="4"/>
      <c r="E238" s="4"/>
    </row>
    <row r="239" spans="4:5" x14ac:dyDescent="0.55000000000000004">
      <c r="D239" s="4"/>
      <c r="E239" s="4"/>
    </row>
    <row r="240" spans="4:5" x14ac:dyDescent="0.55000000000000004">
      <c r="D240" s="4"/>
      <c r="E240" s="4"/>
    </row>
    <row r="241" spans="4:5" x14ac:dyDescent="0.55000000000000004">
      <c r="D241" s="4"/>
      <c r="E241" s="4"/>
    </row>
    <row r="242" spans="4:5" x14ac:dyDescent="0.55000000000000004">
      <c r="D242" s="4"/>
      <c r="E242" s="4"/>
    </row>
    <row r="243" spans="4:5" x14ac:dyDescent="0.55000000000000004">
      <c r="D243" s="4"/>
      <c r="E243" s="4"/>
    </row>
    <row r="244" spans="4:5" x14ac:dyDescent="0.55000000000000004">
      <c r="D244" s="4"/>
      <c r="E244" s="4"/>
    </row>
    <row r="245" spans="4:5" x14ac:dyDescent="0.55000000000000004">
      <c r="D245" s="4"/>
      <c r="E245" s="4"/>
    </row>
    <row r="246" spans="4:5" x14ac:dyDescent="0.55000000000000004">
      <c r="D246" s="4"/>
      <c r="E246" s="4"/>
    </row>
    <row r="247" spans="4:5" x14ac:dyDescent="0.55000000000000004">
      <c r="D247" s="4"/>
      <c r="E247" s="4"/>
    </row>
    <row r="248" spans="4:5" x14ac:dyDescent="0.55000000000000004">
      <c r="D248" s="4"/>
      <c r="E248" s="4"/>
    </row>
    <row r="249" spans="4:5" x14ac:dyDescent="0.55000000000000004">
      <c r="D249" s="4"/>
      <c r="E249" s="4"/>
    </row>
    <row r="250" spans="4:5" x14ac:dyDescent="0.55000000000000004">
      <c r="D250" s="4"/>
      <c r="E250" s="4"/>
    </row>
    <row r="251" spans="4:5" x14ac:dyDescent="0.55000000000000004">
      <c r="D251" s="4"/>
      <c r="E251" s="4"/>
    </row>
    <row r="252" spans="4:5" x14ac:dyDescent="0.55000000000000004">
      <c r="D252" s="4"/>
      <c r="E252" s="4"/>
    </row>
    <row r="253" spans="4:5" x14ac:dyDescent="0.55000000000000004">
      <c r="D253" s="4"/>
      <c r="E253" s="4"/>
    </row>
    <row r="254" spans="4:5" x14ac:dyDescent="0.55000000000000004">
      <c r="D254" s="4"/>
      <c r="E254" s="4"/>
    </row>
    <row r="255" spans="4:5" x14ac:dyDescent="0.55000000000000004">
      <c r="D255" s="4"/>
      <c r="E255" s="4"/>
    </row>
    <row r="256" spans="4:5" x14ac:dyDescent="0.55000000000000004">
      <c r="D256" s="4"/>
      <c r="E256" s="4"/>
    </row>
    <row r="257" spans="4:5" x14ac:dyDescent="0.55000000000000004">
      <c r="D257" s="4"/>
      <c r="E257" s="4"/>
    </row>
    <row r="258" spans="4:5" x14ac:dyDescent="0.55000000000000004">
      <c r="D258" s="4"/>
      <c r="E258" s="4"/>
    </row>
    <row r="259" spans="4:5" x14ac:dyDescent="0.55000000000000004">
      <c r="D259" s="4"/>
      <c r="E259" s="4"/>
    </row>
    <row r="260" spans="4:5" x14ac:dyDescent="0.55000000000000004">
      <c r="D260" s="4"/>
      <c r="E260" s="4"/>
    </row>
    <row r="261" spans="4:5" x14ac:dyDescent="0.55000000000000004">
      <c r="D261" s="4"/>
      <c r="E261" s="4"/>
    </row>
    <row r="262" spans="4:5" x14ac:dyDescent="0.55000000000000004">
      <c r="D262" s="4"/>
      <c r="E262" s="4"/>
    </row>
    <row r="263" spans="4:5" x14ac:dyDescent="0.55000000000000004">
      <c r="D263" s="4"/>
      <c r="E263" s="4"/>
    </row>
    <row r="264" spans="4:5" x14ac:dyDescent="0.55000000000000004">
      <c r="D264" s="4"/>
      <c r="E264" s="4"/>
    </row>
    <row r="265" spans="4:5" x14ac:dyDescent="0.55000000000000004">
      <c r="D265" s="4"/>
      <c r="E265" s="4"/>
    </row>
    <row r="266" spans="4:5" x14ac:dyDescent="0.55000000000000004">
      <c r="D266" s="4"/>
      <c r="E266" s="4"/>
    </row>
    <row r="267" spans="4:5" x14ac:dyDescent="0.55000000000000004">
      <c r="D267" s="4"/>
      <c r="E267" s="4"/>
    </row>
    <row r="268" spans="4:5" x14ac:dyDescent="0.55000000000000004">
      <c r="D268" s="4"/>
      <c r="E268" s="4"/>
    </row>
    <row r="269" spans="4:5" x14ac:dyDescent="0.55000000000000004">
      <c r="D269" s="4"/>
      <c r="E269" s="4"/>
    </row>
    <row r="270" spans="4:5" x14ac:dyDescent="0.55000000000000004">
      <c r="D270" s="4"/>
      <c r="E270" s="4"/>
    </row>
    <row r="271" spans="4:5" x14ac:dyDescent="0.55000000000000004">
      <c r="D271" s="4"/>
      <c r="E271" s="4"/>
    </row>
    <row r="272" spans="4:5" x14ac:dyDescent="0.55000000000000004">
      <c r="D272" s="4"/>
      <c r="E272" s="4"/>
    </row>
    <row r="273" spans="4:5" x14ac:dyDescent="0.55000000000000004">
      <c r="D273" s="4"/>
      <c r="E273" s="4"/>
    </row>
    <row r="274" spans="4:5" x14ac:dyDescent="0.55000000000000004">
      <c r="D274" s="4"/>
      <c r="E274" s="4"/>
    </row>
    <row r="275" spans="4:5" x14ac:dyDescent="0.55000000000000004">
      <c r="D275" s="4"/>
      <c r="E275" s="4"/>
    </row>
    <row r="276" spans="4:5" x14ac:dyDescent="0.55000000000000004">
      <c r="D276" s="4"/>
      <c r="E276" s="4"/>
    </row>
    <row r="277" spans="4:5" x14ac:dyDescent="0.55000000000000004">
      <c r="D277" s="4"/>
      <c r="E277" s="4"/>
    </row>
    <row r="278" spans="4:5" x14ac:dyDescent="0.55000000000000004">
      <c r="D278" s="4"/>
      <c r="E278" s="4"/>
    </row>
    <row r="279" spans="4:5" x14ac:dyDescent="0.55000000000000004">
      <c r="D279" s="4"/>
      <c r="E279" s="4"/>
    </row>
    <row r="280" spans="4:5" x14ac:dyDescent="0.55000000000000004">
      <c r="D280" s="4"/>
      <c r="E280" s="4"/>
    </row>
    <row r="281" spans="4:5" x14ac:dyDescent="0.55000000000000004">
      <c r="D281" s="4"/>
      <c r="E281" s="4"/>
    </row>
    <row r="282" spans="4:5" x14ac:dyDescent="0.55000000000000004">
      <c r="D282" s="4"/>
      <c r="E282" s="4"/>
    </row>
    <row r="283" spans="4:5" x14ac:dyDescent="0.55000000000000004">
      <c r="D283" s="4"/>
      <c r="E283" s="4"/>
    </row>
    <row r="284" spans="4:5" x14ac:dyDescent="0.55000000000000004">
      <c r="D284" s="4"/>
      <c r="E284" s="4"/>
    </row>
    <row r="285" spans="4:5" x14ac:dyDescent="0.55000000000000004">
      <c r="D285" s="4"/>
      <c r="E285" s="4"/>
    </row>
    <row r="286" spans="4:5" x14ac:dyDescent="0.55000000000000004">
      <c r="D286" s="4"/>
      <c r="E286" s="4"/>
    </row>
    <row r="287" spans="4:5" x14ac:dyDescent="0.55000000000000004">
      <c r="D287" s="4"/>
      <c r="E287" s="4"/>
    </row>
    <row r="288" spans="4:5" x14ac:dyDescent="0.55000000000000004">
      <c r="D288" s="4"/>
      <c r="E288" s="4"/>
    </row>
    <row r="289" spans="4:5" x14ac:dyDescent="0.55000000000000004">
      <c r="D289" s="4"/>
      <c r="E289" s="4"/>
    </row>
    <row r="290" spans="4:5" x14ac:dyDescent="0.55000000000000004">
      <c r="D290" s="4"/>
      <c r="E290" s="4"/>
    </row>
    <row r="291" spans="4:5" x14ac:dyDescent="0.55000000000000004">
      <c r="D291" s="4"/>
      <c r="E291" s="4"/>
    </row>
    <row r="292" spans="4:5" x14ac:dyDescent="0.55000000000000004">
      <c r="D292" s="4"/>
      <c r="E292" s="4"/>
    </row>
    <row r="293" spans="4:5" x14ac:dyDescent="0.55000000000000004">
      <c r="D293" s="4"/>
      <c r="E293" s="4"/>
    </row>
    <row r="294" spans="4:5" x14ac:dyDescent="0.55000000000000004">
      <c r="D294" s="4"/>
      <c r="E294" s="4"/>
    </row>
    <row r="295" spans="4:5" x14ac:dyDescent="0.55000000000000004">
      <c r="D295" s="4"/>
      <c r="E295" s="4"/>
    </row>
    <row r="296" spans="4:5" x14ac:dyDescent="0.55000000000000004">
      <c r="D296" s="4"/>
      <c r="E296" s="4"/>
    </row>
    <row r="297" spans="4:5" x14ac:dyDescent="0.55000000000000004">
      <c r="D297" s="4"/>
      <c r="E297" s="4"/>
    </row>
    <row r="298" spans="4:5" x14ac:dyDescent="0.55000000000000004">
      <c r="D298" s="4"/>
      <c r="E298" s="4"/>
    </row>
    <row r="299" spans="4:5" x14ac:dyDescent="0.55000000000000004">
      <c r="D299" s="4"/>
      <c r="E299" s="4"/>
    </row>
    <row r="300" spans="4:5" x14ac:dyDescent="0.55000000000000004">
      <c r="D300" s="4"/>
      <c r="E300" s="4"/>
    </row>
    <row r="301" spans="4:5" x14ac:dyDescent="0.55000000000000004">
      <c r="D301" s="4"/>
      <c r="E301" s="4"/>
    </row>
    <row r="302" spans="4:5" x14ac:dyDescent="0.55000000000000004">
      <c r="D302" s="4"/>
      <c r="E302" s="4"/>
    </row>
    <row r="303" spans="4:5" x14ac:dyDescent="0.55000000000000004">
      <c r="D303" s="4"/>
      <c r="E303" s="4"/>
    </row>
    <row r="304" spans="4:5" x14ac:dyDescent="0.55000000000000004">
      <c r="D304" s="4"/>
      <c r="E304" s="4"/>
    </row>
    <row r="305" spans="4:5" x14ac:dyDescent="0.55000000000000004">
      <c r="D305" s="4"/>
      <c r="E305" s="4"/>
    </row>
    <row r="306" spans="4:5" x14ac:dyDescent="0.55000000000000004">
      <c r="D306" s="4"/>
      <c r="E306" s="4"/>
    </row>
    <row r="307" spans="4:5" x14ac:dyDescent="0.55000000000000004">
      <c r="D307" s="4"/>
      <c r="E307" s="4"/>
    </row>
    <row r="308" spans="4:5" x14ac:dyDescent="0.55000000000000004">
      <c r="D308" s="4"/>
      <c r="E308" s="4"/>
    </row>
    <row r="309" spans="4:5" x14ac:dyDescent="0.55000000000000004">
      <c r="D309" s="4"/>
      <c r="E309" s="4"/>
    </row>
    <row r="310" spans="4:5" x14ac:dyDescent="0.55000000000000004">
      <c r="D310" s="4"/>
      <c r="E310" s="4"/>
    </row>
    <row r="311" spans="4:5" x14ac:dyDescent="0.55000000000000004">
      <c r="D311" s="4"/>
      <c r="E311" s="4"/>
    </row>
    <row r="312" spans="4:5" x14ac:dyDescent="0.55000000000000004">
      <c r="D312" s="4"/>
      <c r="E312" s="4"/>
    </row>
    <row r="313" spans="4:5" x14ac:dyDescent="0.55000000000000004">
      <c r="D313" s="4"/>
      <c r="E313" s="4"/>
    </row>
    <row r="314" spans="4:5" x14ac:dyDescent="0.55000000000000004">
      <c r="D314" s="4"/>
      <c r="E314" s="4"/>
    </row>
    <row r="315" spans="4:5" x14ac:dyDescent="0.55000000000000004">
      <c r="D315" s="4"/>
      <c r="E315" s="4"/>
    </row>
    <row r="316" spans="4:5" x14ac:dyDescent="0.55000000000000004">
      <c r="D316" s="4"/>
      <c r="E316" s="4"/>
    </row>
    <row r="317" spans="4:5" x14ac:dyDescent="0.55000000000000004">
      <c r="D317" s="4"/>
      <c r="E317" s="4"/>
    </row>
    <row r="318" spans="4:5" x14ac:dyDescent="0.55000000000000004">
      <c r="D318" s="4"/>
      <c r="E318" s="4"/>
    </row>
    <row r="319" spans="4:5" x14ac:dyDescent="0.55000000000000004">
      <c r="D319" s="4"/>
      <c r="E319" s="4"/>
    </row>
    <row r="320" spans="4:5" x14ac:dyDescent="0.55000000000000004">
      <c r="D320" s="4"/>
      <c r="E320" s="4"/>
    </row>
    <row r="321" spans="4:5" x14ac:dyDescent="0.55000000000000004">
      <c r="D321" s="4"/>
      <c r="E321" s="4"/>
    </row>
    <row r="322" spans="4:5" x14ac:dyDescent="0.55000000000000004">
      <c r="D322" s="4"/>
      <c r="E322" s="4"/>
    </row>
    <row r="323" spans="4:5" x14ac:dyDescent="0.55000000000000004">
      <c r="D323" s="4"/>
      <c r="E323" s="4"/>
    </row>
    <row r="324" spans="4:5" x14ac:dyDescent="0.55000000000000004">
      <c r="D324" s="4"/>
      <c r="E324" s="4"/>
    </row>
    <row r="325" spans="4:5" x14ac:dyDescent="0.55000000000000004">
      <c r="D325" s="4"/>
      <c r="E325" s="4"/>
    </row>
    <row r="326" spans="4:5" x14ac:dyDescent="0.55000000000000004">
      <c r="D326" s="4"/>
      <c r="E326" s="4"/>
    </row>
    <row r="327" spans="4:5" x14ac:dyDescent="0.55000000000000004">
      <c r="D327" s="4"/>
      <c r="E327" s="4"/>
    </row>
    <row r="328" spans="4:5" x14ac:dyDescent="0.55000000000000004">
      <c r="D328" s="4"/>
      <c r="E328" s="4"/>
    </row>
    <row r="329" spans="4:5" x14ac:dyDescent="0.55000000000000004">
      <c r="D329" s="4"/>
      <c r="E329" s="4"/>
    </row>
    <row r="330" spans="4:5" x14ac:dyDescent="0.55000000000000004">
      <c r="D330" s="4"/>
      <c r="E330" s="4"/>
    </row>
    <row r="331" spans="4:5" x14ac:dyDescent="0.55000000000000004">
      <c r="D331" s="4"/>
      <c r="E331" s="4"/>
    </row>
    <row r="332" spans="4:5" x14ac:dyDescent="0.55000000000000004">
      <c r="D332" s="4"/>
      <c r="E332" s="4"/>
    </row>
    <row r="333" spans="4:5" x14ac:dyDescent="0.55000000000000004">
      <c r="D333" s="4"/>
      <c r="E333" s="4"/>
    </row>
    <row r="334" spans="4:5" x14ac:dyDescent="0.55000000000000004">
      <c r="D334" s="4"/>
      <c r="E334" s="4"/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3641E8-5EED-409C-AEAF-03612510F2E1}">
  <dimension ref="A1:M174"/>
  <sheetViews>
    <sheetView workbookViewId="0">
      <selection activeCell="F21" sqref="F21"/>
    </sheetView>
  </sheetViews>
  <sheetFormatPr defaultRowHeight="14.4" x14ac:dyDescent="0.55000000000000004"/>
  <cols>
    <col min="1" max="3" width="8.83984375" style="3"/>
    <col min="4" max="4" width="10.89453125" customWidth="1"/>
    <col min="5" max="5" width="6.7890625" customWidth="1"/>
  </cols>
  <sheetData>
    <row r="1" spans="1:13" x14ac:dyDescent="0.55000000000000004">
      <c r="A1" s="3" t="s">
        <v>0</v>
      </c>
      <c r="B1" s="3" t="s">
        <v>1</v>
      </c>
      <c r="C1" s="3" t="s">
        <v>2</v>
      </c>
      <c r="D1" s="4" t="s">
        <v>3</v>
      </c>
      <c r="E1" s="4" t="s">
        <v>17</v>
      </c>
    </row>
    <row r="2" spans="1:13" x14ac:dyDescent="0.55000000000000004">
      <c r="A2" s="3" t="s">
        <v>4</v>
      </c>
      <c r="B2" s="3" t="s">
        <v>5</v>
      </c>
      <c r="C2" s="3" t="s">
        <v>6</v>
      </c>
      <c r="D2" s="4" t="s">
        <v>7</v>
      </c>
      <c r="E2" s="4" t="s">
        <v>16</v>
      </c>
    </row>
    <row r="3" spans="1:13" x14ac:dyDescent="0.55000000000000004">
      <c r="A3" s="3">
        <v>19.8</v>
      </c>
      <c r="B3" s="3">
        <v>1.6480999999999999</v>
      </c>
      <c r="C3" s="3">
        <v>20.93</v>
      </c>
      <c r="D3" s="4">
        <v>0</v>
      </c>
      <c r="E3" s="4">
        <f t="shared" ref="E3:E60" si="0">C3/$L$4</f>
        <v>0.34883333333333333</v>
      </c>
      <c r="K3" t="s">
        <v>15</v>
      </c>
      <c r="L3">
        <v>111</v>
      </c>
      <c r="M3" t="s">
        <v>9</v>
      </c>
    </row>
    <row r="4" spans="1:13" x14ac:dyDescent="0.55000000000000004">
      <c r="A4" s="3">
        <v>19.899999999999999</v>
      </c>
      <c r="B4" s="3">
        <v>1.6564000000000001</v>
      </c>
      <c r="C4" s="3">
        <v>24.96</v>
      </c>
      <c r="D4" s="4">
        <f t="shared" ref="D4:D67" si="1">((B4/$L$3))-0.0148477477477477</f>
        <v>7.4774774774823832E-5</v>
      </c>
      <c r="E4" s="4">
        <f t="shared" si="0"/>
        <v>0.41600000000000004</v>
      </c>
      <c r="K4" t="s">
        <v>14</v>
      </c>
      <c r="L4">
        <f>10*6</f>
        <v>60</v>
      </c>
      <c r="M4" t="s">
        <v>13</v>
      </c>
    </row>
    <row r="5" spans="1:13" x14ac:dyDescent="0.55000000000000004">
      <c r="A5" s="3">
        <v>20</v>
      </c>
      <c r="B5" s="3">
        <v>1.6647000000000001</v>
      </c>
      <c r="C5" s="3">
        <v>28.18</v>
      </c>
      <c r="D5" s="4">
        <f t="shared" si="1"/>
        <v>1.4954954954959736E-4</v>
      </c>
      <c r="E5" s="4">
        <f t="shared" si="0"/>
        <v>0.46966666666666668</v>
      </c>
    </row>
    <row r="6" spans="1:13" x14ac:dyDescent="0.55000000000000004">
      <c r="A6" s="3">
        <v>20.100000000000001</v>
      </c>
      <c r="B6" s="3">
        <v>1.673</v>
      </c>
      <c r="C6" s="3">
        <v>33.01</v>
      </c>
      <c r="D6" s="4">
        <f t="shared" si="1"/>
        <v>2.2432432432437262E-4</v>
      </c>
      <c r="E6" s="4">
        <f t="shared" si="0"/>
        <v>0.55016666666666658</v>
      </c>
    </row>
    <row r="7" spans="1:13" x14ac:dyDescent="0.55000000000000004">
      <c r="A7" s="3">
        <v>20.2</v>
      </c>
      <c r="B7" s="3">
        <v>1.6814</v>
      </c>
      <c r="C7" s="3">
        <v>37.04</v>
      </c>
      <c r="D7" s="4">
        <f t="shared" si="1"/>
        <v>3.0000000000004676E-4</v>
      </c>
      <c r="E7" s="4">
        <f t="shared" si="0"/>
        <v>0.61733333333333329</v>
      </c>
    </row>
    <row r="8" spans="1:13" x14ac:dyDescent="0.55000000000000004">
      <c r="A8" s="3">
        <v>20.3</v>
      </c>
      <c r="B8" s="3">
        <v>1.6897</v>
      </c>
      <c r="C8" s="3">
        <v>41.87</v>
      </c>
      <c r="D8" s="4">
        <f t="shared" si="1"/>
        <v>3.7477477477482202E-4</v>
      </c>
      <c r="E8" s="4">
        <f t="shared" si="0"/>
        <v>0.69783333333333331</v>
      </c>
    </row>
    <row r="9" spans="1:13" x14ac:dyDescent="0.55000000000000004">
      <c r="A9" s="3">
        <v>20.399999999999999</v>
      </c>
      <c r="B9" s="3">
        <v>1.6980999999999999</v>
      </c>
      <c r="C9" s="3">
        <v>45.9</v>
      </c>
      <c r="D9" s="4">
        <f t="shared" si="1"/>
        <v>4.5045045045049789E-4</v>
      </c>
      <c r="E9" s="4">
        <f t="shared" si="0"/>
        <v>0.76500000000000001</v>
      </c>
    </row>
    <row r="10" spans="1:13" x14ac:dyDescent="0.55000000000000004">
      <c r="A10" s="3">
        <v>20.5</v>
      </c>
      <c r="B10" s="3">
        <v>1.7063999999999999</v>
      </c>
      <c r="C10" s="3">
        <v>50.73</v>
      </c>
      <c r="D10" s="4">
        <f t="shared" si="1"/>
        <v>5.2522522522527142E-4</v>
      </c>
      <c r="E10" s="4">
        <f t="shared" si="0"/>
        <v>0.84549999999999992</v>
      </c>
    </row>
    <row r="11" spans="1:13" x14ac:dyDescent="0.55000000000000004">
      <c r="A11" s="3">
        <v>20.6</v>
      </c>
      <c r="B11" s="3">
        <v>1.7146999999999999</v>
      </c>
      <c r="C11" s="3">
        <v>54.76</v>
      </c>
      <c r="D11" s="4">
        <f t="shared" si="1"/>
        <v>6.0000000000004668E-4</v>
      </c>
      <c r="E11" s="4">
        <f t="shared" si="0"/>
        <v>0.91266666666666663</v>
      </c>
    </row>
    <row r="12" spans="1:13" x14ac:dyDescent="0.55000000000000004">
      <c r="A12" s="3">
        <v>20.7</v>
      </c>
      <c r="B12" s="3">
        <v>1.7231000000000001</v>
      </c>
      <c r="C12" s="3">
        <v>59.59</v>
      </c>
      <c r="D12" s="4">
        <f t="shared" si="1"/>
        <v>6.7567567567572429E-4</v>
      </c>
      <c r="E12" s="4">
        <f t="shared" si="0"/>
        <v>0.99316666666666675</v>
      </c>
    </row>
    <row r="13" spans="1:13" x14ac:dyDescent="0.55000000000000004">
      <c r="A13" s="3">
        <v>20.8</v>
      </c>
      <c r="B13" s="3">
        <v>1.7314000000000001</v>
      </c>
      <c r="C13" s="3">
        <v>63.62</v>
      </c>
      <c r="D13" s="4">
        <f t="shared" si="1"/>
        <v>7.5045045045049781E-4</v>
      </c>
      <c r="E13" s="4">
        <f t="shared" si="0"/>
        <v>1.0603333333333333</v>
      </c>
    </row>
    <row r="14" spans="1:13" x14ac:dyDescent="0.55000000000000004">
      <c r="A14" s="3">
        <v>20.9</v>
      </c>
      <c r="B14" s="3">
        <v>1.7397</v>
      </c>
      <c r="C14" s="3">
        <v>69.260000000000005</v>
      </c>
      <c r="D14" s="4">
        <f t="shared" si="1"/>
        <v>8.2522522522527307E-4</v>
      </c>
      <c r="E14" s="4">
        <f t="shared" si="0"/>
        <v>1.1543333333333334</v>
      </c>
    </row>
    <row r="15" spans="1:13" x14ac:dyDescent="0.55000000000000004">
      <c r="A15" s="3">
        <v>21</v>
      </c>
      <c r="B15" s="3">
        <v>1.748</v>
      </c>
      <c r="C15" s="3">
        <v>73.28</v>
      </c>
      <c r="D15" s="4">
        <f t="shared" si="1"/>
        <v>9.0000000000004833E-4</v>
      </c>
      <c r="E15" s="4">
        <f t="shared" si="0"/>
        <v>1.2213333333333334</v>
      </c>
    </row>
    <row r="16" spans="1:13" x14ac:dyDescent="0.55000000000000004">
      <c r="A16" s="3">
        <v>21.1</v>
      </c>
      <c r="B16" s="3">
        <v>1.7564</v>
      </c>
      <c r="C16" s="3">
        <v>77.31</v>
      </c>
      <c r="D16" s="4">
        <f t="shared" si="1"/>
        <v>9.756756756757242E-4</v>
      </c>
      <c r="E16" s="4">
        <f t="shared" si="0"/>
        <v>1.2885</v>
      </c>
    </row>
    <row r="17" spans="1:13" x14ac:dyDescent="0.55000000000000004">
      <c r="A17" s="3">
        <v>21.2</v>
      </c>
      <c r="B17" s="3">
        <v>1.7646999999999999</v>
      </c>
      <c r="C17" s="3">
        <v>82.14</v>
      </c>
      <c r="D17" s="4">
        <f t="shared" si="1"/>
        <v>1.050450450450496E-3</v>
      </c>
      <c r="E17" s="4">
        <f t="shared" si="0"/>
        <v>1.369</v>
      </c>
    </row>
    <row r="18" spans="1:13" x14ac:dyDescent="0.55000000000000004">
      <c r="A18" s="3">
        <v>21.3</v>
      </c>
      <c r="B18" s="3">
        <v>1.7730999999999999</v>
      </c>
      <c r="C18" s="3">
        <v>86.97</v>
      </c>
      <c r="D18" s="4">
        <f t="shared" si="1"/>
        <v>1.1261261261261719E-3</v>
      </c>
      <c r="E18" s="4">
        <f t="shared" si="0"/>
        <v>1.4495</v>
      </c>
    </row>
    <row r="19" spans="1:13" x14ac:dyDescent="0.55000000000000004">
      <c r="A19" s="3">
        <v>21.4</v>
      </c>
      <c r="B19" s="3">
        <v>1.7814000000000001</v>
      </c>
      <c r="C19" s="3">
        <v>91.81</v>
      </c>
      <c r="D19" s="4">
        <f t="shared" si="1"/>
        <v>1.2009009009009506E-3</v>
      </c>
      <c r="E19" s="4">
        <f t="shared" si="0"/>
        <v>1.5301666666666667</v>
      </c>
    </row>
    <row r="20" spans="1:13" x14ac:dyDescent="0.55000000000000004">
      <c r="A20" s="3">
        <v>21.5</v>
      </c>
      <c r="B20" s="3">
        <v>1.7897000000000001</v>
      </c>
      <c r="C20" s="3">
        <v>96.64</v>
      </c>
      <c r="D20" s="4">
        <f t="shared" si="1"/>
        <v>1.2756756756757224E-3</v>
      </c>
      <c r="E20" s="4">
        <f t="shared" si="0"/>
        <v>1.6106666666666667</v>
      </c>
    </row>
    <row r="21" spans="1:13" x14ac:dyDescent="0.55000000000000004">
      <c r="A21" s="3">
        <v>21.6</v>
      </c>
      <c r="B21" s="3">
        <v>1.7981</v>
      </c>
      <c r="C21" s="3">
        <v>101.47</v>
      </c>
      <c r="D21" s="4">
        <f t="shared" si="1"/>
        <v>1.3513513513513983E-3</v>
      </c>
      <c r="E21" s="4">
        <f t="shared" si="0"/>
        <v>1.6911666666666667</v>
      </c>
    </row>
    <row r="22" spans="1:13" x14ac:dyDescent="0.55000000000000004">
      <c r="A22" s="3">
        <v>21.7</v>
      </c>
      <c r="B22" s="3">
        <v>1.8064</v>
      </c>
      <c r="C22" s="3">
        <v>105.5</v>
      </c>
      <c r="D22" s="4">
        <f t="shared" si="1"/>
        <v>1.4261261261261735E-3</v>
      </c>
      <c r="E22" s="4">
        <f t="shared" si="0"/>
        <v>1.7583333333333333</v>
      </c>
    </row>
    <row r="23" spans="1:13" x14ac:dyDescent="0.55000000000000004">
      <c r="A23" s="3">
        <v>21.8</v>
      </c>
      <c r="B23" s="3">
        <v>1.8147</v>
      </c>
      <c r="C23" s="3">
        <v>110.33</v>
      </c>
      <c r="D23" s="4">
        <f t="shared" si="1"/>
        <v>1.5009009009009488E-3</v>
      </c>
      <c r="E23" s="4">
        <f t="shared" si="0"/>
        <v>1.8388333333333333</v>
      </c>
    </row>
    <row r="24" spans="1:13" x14ac:dyDescent="0.55000000000000004">
      <c r="A24" s="3">
        <v>21.9</v>
      </c>
      <c r="B24" s="3">
        <v>1.823</v>
      </c>
      <c r="C24" s="3">
        <v>115.16</v>
      </c>
      <c r="D24" s="4">
        <f t="shared" si="1"/>
        <v>1.575675675675724E-3</v>
      </c>
      <c r="E24" s="4">
        <f t="shared" si="0"/>
        <v>1.9193333333333333</v>
      </c>
    </row>
    <row r="25" spans="1:13" x14ac:dyDescent="0.55000000000000004">
      <c r="A25" s="3">
        <v>22</v>
      </c>
      <c r="B25" s="3">
        <v>1.8313999999999999</v>
      </c>
      <c r="C25" s="3">
        <v>119.99</v>
      </c>
      <c r="D25" s="4">
        <f t="shared" si="1"/>
        <v>1.6513513513513964E-3</v>
      </c>
      <c r="E25" s="4">
        <f t="shared" si="0"/>
        <v>1.9998333333333334</v>
      </c>
    </row>
    <row r="26" spans="1:13" x14ac:dyDescent="0.55000000000000004">
      <c r="A26" s="3">
        <v>22.1</v>
      </c>
      <c r="B26" s="3">
        <v>1.8396999999999999</v>
      </c>
      <c r="C26" s="3">
        <v>124.01999000000001</v>
      </c>
      <c r="D26" s="4">
        <f t="shared" si="1"/>
        <v>1.7261261261261717E-3</v>
      </c>
      <c r="E26" s="4">
        <f t="shared" si="0"/>
        <v>2.0669998333333335</v>
      </c>
      <c r="J26" s="5" t="s">
        <v>12</v>
      </c>
      <c r="K26" s="5"/>
      <c r="L26" s="6">
        <f>MAX(E:E)</f>
        <v>10.362166833333333</v>
      </c>
      <c r="M26" s="5" t="s">
        <v>11</v>
      </c>
    </row>
    <row r="27" spans="1:13" x14ac:dyDescent="0.55000000000000004">
      <c r="A27" s="3">
        <v>22.2</v>
      </c>
      <c r="B27" s="3">
        <v>1.8481000000000001</v>
      </c>
      <c r="C27" s="3">
        <v>128.85</v>
      </c>
      <c r="D27" s="4">
        <f t="shared" si="1"/>
        <v>1.8018018018018511E-3</v>
      </c>
      <c r="E27" s="4">
        <f t="shared" si="0"/>
        <v>2.1475</v>
      </c>
      <c r="J27" s="5" t="s">
        <v>10</v>
      </c>
      <c r="K27" s="5"/>
      <c r="L27" s="5">
        <v>1.1786486486486532E-2</v>
      </c>
      <c r="M27" s="5" t="s">
        <v>18</v>
      </c>
    </row>
    <row r="28" spans="1:13" x14ac:dyDescent="0.55000000000000004">
      <c r="A28" s="3">
        <v>22.3</v>
      </c>
      <c r="B28" s="3">
        <v>1.8564000000000001</v>
      </c>
      <c r="C28" s="3">
        <v>133.68</v>
      </c>
      <c r="D28" s="4">
        <f t="shared" si="1"/>
        <v>1.8765765765766228E-3</v>
      </c>
      <c r="E28" s="4">
        <f t="shared" si="0"/>
        <v>2.2280000000000002</v>
      </c>
    </row>
    <row r="29" spans="1:13" x14ac:dyDescent="0.55000000000000004">
      <c r="A29" s="3">
        <v>22.4</v>
      </c>
      <c r="B29" s="3">
        <v>1.8647</v>
      </c>
      <c r="C29" s="3">
        <v>138.52000000000001</v>
      </c>
      <c r="D29" s="4">
        <f t="shared" si="1"/>
        <v>1.9513513513513981E-3</v>
      </c>
      <c r="E29" s="4">
        <f t="shared" si="0"/>
        <v>2.3086666666666669</v>
      </c>
    </row>
    <row r="30" spans="1:13" x14ac:dyDescent="0.55000000000000004">
      <c r="A30" s="3">
        <v>22.5</v>
      </c>
      <c r="B30" s="3">
        <v>1.8731</v>
      </c>
      <c r="C30" s="3">
        <v>142.54001</v>
      </c>
      <c r="D30" s="4">
        <f t="shared" si="1"/>
        <v>2.027027027027074E-3</v>
      </c>
      <c r="E30" s="4">
        <f t="shared" si="0"/>
        <v>2.3756668333333333</v>
      </c>
    </row>
    <row r="31" spans="1:13" x14ac:dyDescent="0.55000000000000004">
      <c r="A31" s="3">
        <v>22.6</v>
      </c>
      <c r="B31" s="3">
        <v>1.8814</v>
      </c>
      <c r="C31" s="3">
        <v>147.37001000000001</v>
      </c>
      <c r="D31" s="4">
        <f t="shared" si="1"/>
        <v>2.1018018018018492E-3</v>
      </c>
      <c r="E31" s="4">
        <f t="shared" si="0"/>
        <v>2.4561668333333335</v>
      </c>
    </row>
    <row r="32" spans="1:13" x14ac:dyDescent="0.55000000000000004">
      <c r="A32" s="3">
        <v>22.7</v>
      </c>
      <c r="B32" s="3">
        <v>1.8896999999999999</v>
      </c>
      <c r="C32" s="3">
        <v>152.21</v>
      </c>
      <c r="D32" s="4">
        <f t="shared" si="1"/>
        <v>2.1765765765766245E-3</v>
      </c>
      <c r="E32" s="4">
        <f t="shared" si="0"/>
        <v>2.5368333333333335</v>
      </c>
    </row>
    <row r="33" spans="1:5" x14ac:dyDescent="0.55000000000000004">
      <c r="A33" s="3">
        <v>22.8</v>
      </c>
      <c r="B33" s="3">
        <v>1.8979999999999999</v>
      </c>
      <c r="C33" s="3">
        <v>157.04</v>
      </c>
      <c r="D33" s="4">
        <f t="shared" si="1"/>
        <v>2.2513513513513998E-3</v>
      </c>
      <c r="E33" s="4">
        <f t="shared" si="0"/>
        <v>2.6173333333333333</v>
      </c>
    </row>
    <row r="34" spans="1:5" x14ac:dyDescent="0.55000000000000004">
      <c r="A34" s="3">
        <v>22.9</v>
      </c>
      <c r="B34" s="3">
        <v>1.9064000000000001</v>
      </c>
      <c r="C34" s="3">
        <v>161.07</v>
      </c>
      <c r="D34" s="4">
        <f t="shared" si="1"/>
        <v>2.3270270270270756E-3</v>
      </c>
      <c r="E34" s="4">
        <f t="shared" si="0"/>
        <v>2.6844999999999999</v>
      </c>
    </row>
    <row r="35" spans="1:5" x14ac:dyDescent="0.55000000000000004">
      <c r="A35" s="3">
        <v>23</v>
      </c>
      <c r="B35" s="3">
        <v>1.9147000000000001</v>
      </c>
      <c r="C35" s="3">
        <v>165.90001000000001</v>
      </c>
      <c r="D35" s="4">
        <f t="shared" si="1"/>
        <v>2.4018018018018509E-3</v>
      </c>
      <c r="E35" s="4">
        <f t="shared" si="0"/>
        <v>2.7650001666666668</v>
      </c>
    </row>
    <row r="36" spans="1:5" x14ac:dyDescent="0.55000000000000004">
      <c r="A36" s="3">
        <v>23.1</v>
      </c>
      <c r="B36" s="3">
        <v>1.9231</v>
      </c>
      <c r="C36" s="3">
        <v>170.72998999999999</v>
      </c>
      <c r="D36" s="4">
        <f t="shared" si="1"/>
        <v>2.4774774774775268E-3</v>
      </c>
      <c r="E36" s="4">
        <f t="shared" si="0"/>
        <v>2.8454998333333332</v>
      </c>
    </row>
    <row r="37" spans="1:5" x14ac:dyDescent="0.55000000000000004">
      <c r="A37" s="3">
        <v>23.2</v>
      </c>
      <c r="B37" s="3">
        <v>1.9314</v>
      </c>
      <c r="C37" s="3">
        <v>174.76</v>
      </c>
      <c r="D37" s="4">
        <f t="shared" si="1"/>
        <v>2.5522522522522986E-3</v>
      </c>
      <c r="E37" s="4">
        <f t="shared" si="0"/>
        <v>2.9126666666666665</v>
      </c>
    </row>
    <row r="38" spans="1:5" x14ac:dyDescent="0.55000000000000004">
      <c r="A38" s="3">
        <v>23.3</v>
      </c>
      <c r="B38" s="3">
        <v>1.9397</v>
      </c>
      <c r="C38" s="3">
        <v>179.59</v>
      </c>
      <c r="D38" s="4">
        <f t="shared" si="1"/>
        <v>2.6270270270270738E-3</v>
      </c>
      <c r="E38" s="4">
        <f t="shared" si="0"/>
        <v>2.9931666666666668</v>
      </c>
    </row>
    <row r="39" spans="1:5" x14ac:dyDescent="0.55000000000000004">
      <c r="A39" s="3">
        <v>23.4</v>
      </c>
      <c r="B39" s="3">
        <v>1.9480999999999999</v>
      </c>
      <c r="C39" s="3">
        <v>184.42</v>
      </c>
      <c r="D39" s="4">
        <f t="shared" si="1"/>
        <v>2.7027027027027497E-3</v>
      </c>
      <c r="E39" s="4">
        <f t="shared" si="0"/>
        <v>3.0736666666666665</v>
      </c>
    </row>
    <row r="40" spans="1:5" x14ac:dyDescent="0.55000000000000004">
      <c r="A40" s="3">
        <v>23.5</v>
      </c>
      <c r="B40" s="3">
        <v>1.9563999999999999</v>
      </c>
      <c r="C40" s="3">
        <v>189.25</v>
      </c>
      <c r="D40" s="4">
        <f t="shared" si="1"/>
        <v>2.777477477477525E-3</v>
      </c>
      <c r="E40" s="4">
        <f t="shared" si="0"/>
        <v>3.1541666666666668</v>
      </c>
    </row>
    <row r="41" spans="1:5" x14ac:dyDescent="0.55000000000000004">
      <c r="A41" s="3">
        <v>23.6</v>
      </c>
      <c r="B41" s="3">
        <v>1.9646999999999999</v>
      </c>
      <c r="C41" s="3">
        <v>193.28</v>
      </c>
      <c r="D41" s="4">
        <f t="shared" si="1"/>
        <v>2.8522522522523002E-3</v>
      </c>
      <c r="E41" s="4">
        <f t="shared" si="0"/>
        <v>3.2213333333333334</v>
      </c>
    </row>
    <row r="42" spans="1:5" x14ac:dyDescent="0.55000000000000004">
      <c r="A42" s="3">
        <v>23.7</v>
      </c>
      <c r="B42" s="3">
        <v>1.9730000000000001</v>
      </c>
      <c r="C42" s="3">
        <v>198.11</v>
      </c>
      <c r="D42" s="4">
        <f t="shared" si="1"/>
        <v>2.9270270270270755E-3</v>
      </c>
      <c r="E42" s="4">
        <f t="shared" si="0"/>
        <v>3.3018333333333336</v>
      </c>
    </row>
    <row r="43" spans="1:5" x14ac:dyDescent="0.55000000000000004">
      <c r="A43" s="3">
        <v>23.8</v>
      </c>
      <c r="B43" s="3">
        <v>1.9814000000000001</v>
      </c>
      <c r="C43" s="3">
        <v>202.94</v>
      </c>
      <c r="D43" s="4">
        <f t="shared" si="1"/>
        <v>3.0027027027027513E-3</v>
      </c>
      <c r="E43" s="4">
        <f t="shared" si="0"/>
        <v>3.3823333333333334</v>
      </c>
    </row>
    <row r="44" spans="1:5" x14ac:dyDescent="0.55000000000000004">
      <c r="A44" s="3">
        <v>23.9</v>
      </c>
      <c r="B44" s="3">
        <v>1.9897</v>
      </c>
      <c r="C44" s="3">
        <v>207.78</v>
      </c>
      <c r="D44" s="4">
        <f t="shared" si="1"/>
        <v>3.0774774774775266E-3</v>
      </c>
      <c r="E44" s="4">
        <f t="shared" si="0"/>
        <v>3.4630000000000001</v>
      </c>
    </row>
    <row r="45" spans="1:5" x14ac:dyDescent="0.55000000000000004">
      <c r="A45" s="3">
        <v>24</v>
      </c>
      <c r="B45" s="3">
        <v>1.9981</v>
      </c>
      <c r="C45" s="3">
        <v>211.80000999999999</v>
      </c>
      <c r="D45" s="4">
        <f t="shared" si="1"/>
        <v>3.153153153153199E-3</v>
      </c>
      <c r="E45" s="4">
        <f t="shared" si="0"/>
        <v>3.5300001666666665</v>
      </c>
    </row>
    <row r="46" spans="1:5" x14ac:dyDescent="0.55000000000000004">
      <c r="A46" s="3">
        <v>24.1</v>
      </c>
      <c r="B46" s="3">
        <v>2.0064000000000002</v>
      </c>
      <c r="C46" s="3">
        <v>216.62998999999999</v>
      </c>
      <c r="D46" s="4">
        <f t="shared" si="1"/>
        <v>3.2279279279279777E-3</v>
      </c>
      <c r="E46" s="4">
        <f t="shared" si="0"/>
        <v>3.6104998333333334</v>
      </c>
    </row>
    <row r="47" spans="1:5" x14ac:dyDescent="0.55000000000000004">
      <c r="A47" s="3">
        <v>24.2</v>
      </c>
      <c r="B47" s="3">
        <v>2.0146999999999999</v>
      </c>
      <c r="C47" s="3">
        <v>221.47</v>
      </c>
      <c r="D47" s="4">
        <f t="shared" si="1"/>
        <v>3.3027027027027495E-3</v>
      </c>
      <c r="E47" s="4">
        <f t="shared" si="0"/>
        <v>3.6911666666666667</v>
      </c>
    </row>
    <row r="48" spans="1:5" x14ac:dyDescent="0.55000000000000004">
      <c r="A48" s="3">
        <v>24.3</v>
      </c>
      <c r="B48" s="3">
        <v>2.0230999999999999</v>
      </c>
      <c r="C48" s="3">
        <v>225.49</v>
      </c>
      <c r="D48" s="4">
        <f t="shared" si="1"/>
        <v>3.3783783783784254E-3</v>
      </c>
      <c r="E48" s="4">
        <f t="shared" si="0"/>
        <v>3.7581666666666669</v>
      </c>
    </row>
    <row r="49" spans="1:5" x14ac:dyDescent="0.55000000000000004">
      <c r="A49" s="3">
        <v>24.4</v>
      </c>
      <c r="B49" s="3">
        <v>2.0314000000000001</v>
      </c>
      <c r="C49" s="3">
        <v>230.33000999999999</v>
      </c>
      <c r="D49" s="4">
        <f t="shared" si="1"/>
        <v>3.4531531531532007E-3</v>
      </c>
      <c r="E49" s="4">
        <f t="shared" si="0"/>
        <v>3.8388334999999998</v>
      </c>
    </row>
    <row r="50" spans="1:5" x14ac:dyDescent="0.55000000000000004">
      <c r="A50" s="3">
        <v>24.5</v>
      </c>
      <c r="B50" s="3">
        <v>2.0396999999999998</v>
      </c>
      <c r="C50" s="3">
        <v>235.15998999999999</v>
      </c>
      <c r="D50" s="4">
        <f t="shared" si="1"/>
        <v>3.5279279279279725E-3</v>
      </c>
      <c r="E50" s="4">
        <f t="shared" si="0"/>
        <v>3.9193331666666666</v>
      </c>
    </row>
    <row r="51" spans="1:5" x14ac:dyDescent="0.55000000000000004">
      <c r="A51" s="3">
        <v>24.6</v>
      </c>
      <c r="B51" s="3">
        <v>2.048</v>
      </c>
      <c r="C51" s="3">
        <v>239.18001000000001</v>
      </c>
      <c r="D51" s="4">
        <f t="shared" si="1"/>
        <v>3.6027027027027512E-3</v>
      </c>
      <c r="E51" s="4">
        <f t="shared" si="0"/>
        <v>3.9863335000000002</v>
      </c>
    </row>
    <row r="52" spans="1:5" x14ac:dyDescent="0.55000000000000004">
      <c r="A52" s="3">
        <v>24.7</v>
      </c>
      <c r="B52" s="3">
        <v>2.0564</v>
      </c>
      <c r="C52" s="3">
        <v>244.02</v>
      </c>
      <c r="D52" s="4">
        <f t="shared" si="1"/>
        <v>3.6783783783784271E-3</v>
      </c>
      <c r="E52" s="4">
        <f t="shared" si="0"/>
        <v>4.0670000000000002</v>
      </c>
    </row>
    <row r="53" spans="1:5" x14ac:dyDescent="0.55000000000000004">
      <c r="A53" s="3">
        <v>24.8</v>
      </c>
      <c r="B53" s="3">
        <v>2.0647000000000002</v>
      </c>
      <c r="C53" s="3">
        <v>248.84998999999999</v>
      </c>
      <c r="D53" s="4">
        <f t="shared" si="1"/>
        <v>3.7531531531532023E-3</v>
      </c>
      <c r="E53" s="4">
        <f t="shared" si="0"/>
        <v>4.1474998333333328</v>
      </c>
    </row>
    <row r="54" spans="1:5" x14ac:dyDescent="0.55000000000000004">
      <c r="A54" s="3">
        <v>24.9</v>
      </c>
      <c r="B54" s="3">
        <v>2.0731000000000002</v>
      </c>
      <c r="C54" s="3">
        <v>253.68</v>
      </c>
      <c r="D54" s="4">
        <f t="shared" si="1"/>
        <v>3.8288288288288782E-3</v>
      </c>
      <c r="E54" s="4">
        <f t="shared" si="0"/>
        <v>4.2279999999999998</v>
      </c>
    </row>
    <row r="55" spans="1:5" x14ac:dyDescent="0.55000000000000004">
      <c r="A55" s="3">
        <v>25</v>
      </c>
      <c r="B55" s="3">
        <v>2.0813999999999999</v>
      </c>
      <c r="C55" s="3">
        <v>257.70999</v>
      </c>
      <c r="D55" s="4">
        <f t="shared" si="1"/>
        <v>3.90360360360365E-3</v>
      </c>
      <c r="E55" s="4">
        <f t="shared" si="0"/>
        <v>4.2951664999999997</v>
      </c>
    </row>
    <row r="56" spans="1:5" x14ac:dyDescent="0.55000000000000004">
      <c r="A56" s="3">
        <v>25.1</v>
      </c>
      <c r="B56" s="3">
        <v>2.0897000000000001</v>
      </c>
      <c r="C56" s="3">
        <v>262.54001</v>
      </c>
      <c r="D56" s="4">
        <f t="shared" si="1"/>
        <v>3.9783783783784252E-3</v>
      </c>
      <c r="E56" s="4">
        <f t="shared" si="0"/>
        <v>4.3756668333333328</v>
      </c>
    </row>
    <row r="57" spans="1:5" x14ac:dyDescent="0.55000000000000004">
      <c r="A57" s="3">
        <v>25.2</v>
      </c>
      <c r="B57" s="3">
        <v>2.0981000000000001</v>
      </c>
      <c r="C57" s="3">
        <v>266.57</v>
      </c>
      <c r="D57" s="4">
        <f t="shared" si="1"/>
        <v>4.0540540540541011E-3</v>
      </c>
      <c r="E57" s="4">
        <f t="shared" si="0"/>
        <v>4.4428333333333336</v>
      </c>
    </row>
    <row r="58" spans="1:5" x14ac:dyDescent="0.55000000000000004">
      <c r="A58" s="3">
        <v>25.3</v>
      </c>
      <c r="B58" s="3">
        <v>2.1063999999999998</v>
      </c>
      <c r="C58" s="3">
        <v>270.58999</v>
      </c>
      <c r="D58" s="4">
        <f t="shared" si="1"/>
        <v>4.1288288288288764E-3</v>
      </c>
      <c r="E58" s="4">
        <f t="shared" si="0"/>
        <v>4.5098331666666667</v>
      </c>
    </row>
    <row r="59" spans="1:5" x14ac:dyDescent="0.55000000000000004">
      <c r="A59" s="3">
        <v>25.4</v>
      </c>
      <c r="B59" s="3">
        <v>2.1147</v>
      </c>
      <c r="C59" s="3">
        <v>275.43000999999998</v>
      </c>
      <c r="D59" s="4">
        <f t="shared" si="1"/>
        <v>4.2036036036036516E-3</v>
      </c>
      <c r="E59" s="4">
        <f t="shared" si="0"/>
        <v>4.5905001666666667</v>
      </c>
    </row>
    <row r="60" spans="1:5" x14ac:dyDescent="0.55000000000000004">
      <c r="A60" s="3">
        <v>25.5</v>
      </c>
      <c r="B60" s="3">
        <v>2.1230000000000002</v>
      </c>
      <c r="C60" s="3">
        <v>279.45</v>
      </c>
      <c r="D60" s="4">
        <f t="shared" si="1"/>
        <v>4.2783783783784269E-3</v>
      </c>
      <c r="E60" s="4">
        <f t="shared" si="0"/>
        <v>4.6574999999999998</v>
      </c>
    </row>
    <row r="61" spans="1:5" x14ac:dyDescent="0.55000000000000004">
      <c r="A61" s="3">
        <v>25.6</v>
      </c>
      <c r="B61" s="3">
        <v>2.1314000000000002</v>
      </c>
      <c r="C61" s="3">
        <v>284.28001</v>
      </c>
      <c r="D61" s="4">
        <f t="shared" si="1"/>
        <v>4.3540540540541028E-3</v>
      </c>
      <c r="E61" s="4">
        <f t="shared" ref="E61:E124" si="2">C61/$L$4</f>
        <v>4.7380001666666667</v>
      </c>
    </row>
    <row r="62" spans="1:5" x14ac:dyDescent="0.55000000000000004">
      <c r="A62" s="3">
        <v>25.7</v>
      </c>
      <c r="B62" s="3">
        <v>2.1396999999999999</v>
      </c>
      <c r="C62" s="3">
        <v>288.31</v>
      </c>
      <c r="D62" s="4">
        <f t="shared" si="1"/>
        <v>4.4288288288288746E-3</v>
      </c>
      <c r="E62" s="4">
        <f t="shared" si="2"/>
        <v>4.8051666666666666</v>
      </c>
    </row>
    <row r="63" spans="1:5" x14ac:dyDescent="0.55000000000000004">
      <c r="A63" s="3">
        <v>25.8</v>
      </c>
      <c r="B63" s="3">
        <v>2.1480999999999999</v>
      </c>
      <c r="C63" s="3">
        <v>293.13999000000001</v>
      </c>
      <c r="D63" s="4">
        <f t="shared" si="1"/>
        <v>4.5045045045045504E-3</v>
      </c>
      <c r="E63" s="4">
        <f t="shared" si="2"/>
        <v>4.8856665000000001</v>
      </c>
    </row>
    <row r="64" spans="1:5" x14ac:dyDescent="0.55000000000000004">
      <c r="A64" s="3">
        <v>25.9</v>
      </c>
      <c r="B64" s="3">
        <v>2.1564000000000001</v>
      </c>
      <c r="C64" s="3">
        <v>297.17000999999999</v>
      </c>
      <c r="D64" s="4">
        <f t="shared" si="1"/>
        <v>4.5792792792793292E-3</v>
      </c>
      <c r="E64" s="4">
        <f t="shared" si="2"/>
        <v>4.9528334999999997</v>
      </c>
    </row>
    <row r="65" spans="1:5" x14ac:dyDescent="0.55000000000000004">
      <c r="A65" s="3">
        <v>26</v>
      </c>
      <c r="B65" s="3">
        <v>2.1646999999999998</v>
      </c>
      <c r="C65" s="3">
        <v>301.2</v>
      </c>
      <c r="D65" s="4">
        <f t="shared" si="1"/>
        <v>4.654054054054101E-3</v>
      </c>
      <c r="E65" s="4">
        <f t="shared" si="2"/>
        <v>5.0199999999999996</v>
      </c>
    </row>
    <row r="66" spans="1:5" x14ac:dyDescent="0.55000000000000004">
      <c r="A66" s="3">
        <v>26.1</v>
      </c>
      <c r="B66" s="3">
        <v>2.1730999999999998</v>
      </c>
      <c r="C66" s="3">
        <v>306.02999</v>
      </c>
      <c r="D66" s="4">
        <f t="shared" si="1"/>
        <v>4.7297297297297768E-3</v>
      </c>
      <c r="E66" s="4">
        <f t="shared" si="2"/>
        <v>5.1004998333333331</v>
      </c>
    </row>
    <row r="67" spans="1:5" x14ac:dyDescent="0.55000000000000004">
      <c r="A67" s="3">
        <v>26.2</v>
      </c>
      <c r="B67" s="3">
        <v>2.1814</v>
      </c>
      <c r="C67" s="3">
        <v>310.06000999999998</v>
      </c>
      <c r="D67" s="4">
        <f t="shared" si="1"/>
        <v>4.8045045045045521E-3</v>
      </c>
      <c r="E67" s="4">
        <f t="shared" si="2"/>
        <v>5.1676668333333327</v>
      </c>
    </row>
    <row r="68" spans="1:5" x14ac:dyDescent="0.55000000000000004">
      <c r="A68" s="3">
        <v>26.3</v>
      </c>
      <c r="B68" s="3">
        <v>2.1897000000000002</v>
      </c>
      <c r="C68" s="3">
        <v>314.08</v>
      </c>
      <c r="D68" s="4">
        <f t="shared" ref="D68:D131" si="3">((B68/$L$3))-0.0148477477477477</f>
        <v>4.8792792792793273E-3</v>
      </c>
      <c r="E68" s="4">
        <f t="shared" si="2"/>
        <v>5.2346666666666666</v>
      </c>
    </row>
    <row r="69" spans="1:5" x14ac:dyDescent="0.55000000000000004">
      <c r="A69" s="3">
        <v>26.4</v>
      </c>
      <c r="B69" s="3">
        <v>2.198</v>
      </c>
      <c r="C69" s="3">
        <v>318.91001</v>
      </c>
      <c r="D69" s="4">
        <f t="shared" si="3"/>
        <v>4.9540540540541026E-3</v>
      </c>
      <c r="E69" s="4">
        <f t="shared" si="2"/>
        <v>5.3151668333333335</v>
      </c>
    </row>
    <row r="70" spans="1:5" x14ac:dyDescent="0.55000000000000004">
      <c r="A70" s="3">
        <v>26.5</v>
      </c>
      <c r="B70" s="3">
        <v>2.2063999999999999</v>
      </c>
      <c r="C70" s="3">
        <v>323.75</v>
      </c>
      <c r="D70" s="4">
        <f t="shared" si="3"/>
        <v>5.029729729729775E-3</v>
      </c>
      <c r="E70" s="4">
        <f t="shared" si="2"/>
        <v>5.395833333333333</v>
      </c>
    </row>
    <row r="71" spans="1:5" x14ac:dyDescent="0.55000000000000004">
      <c r="A71" s="3">
        <v>26.6</v>
      </c>
      <c r="B71" s="3">
        <v>2.2147000000000001</v>
      </c>
      <c r="C71" s="3">
        <v>327.76999000000001</v>
      </c>
      <c r="D71" s="4">
        <f t="shared" si="3"/>
        <v>5.1045045045045537E-3</v>
      </c>
      <c r="E71" s="4">
        <f t="shared" si="2"/>
        <v>5.462833166666667</v>
      </c>
    </row>
    <row r="72" spans="1:5" x14ac:dyDescent="0.55000000000000004">
      <c r="A72" s="3">
        <v>26.7</v>
      </c>
      <c r="B72" s="3">
        <v>2.2231000000000001</v>
      </c>
      <c r="C72" s="3">
        <v>332.61000999999999</v>
      </c>
      <c r="D72" s="4">
        <f t="shared" si="3"/>
        <v>5.1801801801802296E-3</v>
      </c>
      <c r="E72" s="4">
        <f t="shared" si="2"/>
        <v>5.5435001666666661</v>
      </c>
    </row>
    <row r="73" spans="1:5" x14ac:dyDescent="0.55000000000000004">
      <c r="A73" s="3">
        <v>26.8</v>
      </c>
      <c r="B73" s="3">
        <v>2.2313999999999998</v>
      </c>
      <c r="C73" s="3">
        <v>336.63</v>
      </c>
      <c r="D73" s="4">
        <f t="shared" si="3"/>
        <v>5.2549549549550014E-3</v>
      </c>
      <c r="E73" s="4">
        <f t="shared" si="2"/>
        <v>5.6105</v>
      </c>
    </row>
    <row r="74" spans="1:5" x14ac:dyDescent="0.55000000000000004">
      <c r="A74" s="3">
        <v>26.9</v>
      </c>
      <c r="B74" s="3">
        <v>2.2397</v>
      </c>
      <c r="C74" s="3">
        <v>340.65998999999999</v>
      </c>
      <c r="D74" s="4">
        <f t="shared" si="3"/>
        <v>5.3297297297297767E-3</v>
      </c>
      <c r="E74" s="4">
        <f t="shared" si="2"/>
        <v>5.6776664999999999</v>
      </c>
    </row>
    <row r="75" spans="1:5" x14ac:dyDescent="0.55000000000000004">
      <c r="A75" s="3">
        <v>27</v>
      </c>
      <c r="B75" s="3">
        <v>2.2481</v>
      </c>
      <c r="C75" s="3">
        <v>345.49000999999998</v>
      </c>
      <c r="D75" s="4">
        <f t="shared" si="3"/>
        <v>5.4054054054054525E-3</v>
      </c>
      <c r="E75" s="4">
        <f t="shared" si="2"/>
        <v>5.7581668333333331</v>
      </c>
    </row>
    <row r="76" spans="1:5" x14ac:dyDescent="0.55000000000000004">
      <c r="A76" s="3">
        <v>27.1</v>
      </c>
      <c r="B76" s="3">
        <v>2.2564000000000002</v>
      </c>
      <c r="C76" s="3">
        <v>350.31999000000002</v>
      </c>
      <c r="D76" s="4">
        <f t="shared" si="3"/>
        <v>5.4801801801802278E-3</v>
      </c>
      <c r="E76" s="4">
        <f t="shared" si="2"/>
        <v>5.8386665000000004</v>
      </c>
    </row>
    <row r="77" spans="1:5" x14ac:dyDescent="0.55000000000000004">
      <c r="A77" s="3">
        <v>27.2</v>
      </c>
      <c r="B77" s="3">
        <v>2.2646999999999999</v>
      </c>
      <c r="C77" s="3">
        <v>354.35001</v>
      </c>
      <c r="D77" s="4">
        <f t="shared" si="3"/>
        <v>5.5549549549550031E-3</v>
      </c>
      <c r="E77" s="4">
        <f t="shared" si="2"/>
        <v>5.9058335</v>
      </c>
    </row>
    <row r="78" spans="1:5" x14ac:dyDescent="0.55000000000000004">
      <c r="A78" s="3">
        <v>27.3</v>
      </c>
      <c r="B78" s="3">
        <v>2.2730000000000001</v>
      </c>
      <c r="C78" s="3">
        <v>358.38</v>
      </c>
      <c r="D78" s="4">
        <f t="shared" si="3"/>
        <v>5.6297297297297783E-3</v>
      </c>
      <c r="E78" s="4">
        <f t="shared" si="2"/>
        <v>5.9729999999999999</v>
      </c>
    </row>
    <row r="79" spans="1:5" x14ac:dyDescent="0.55000000000000004">
      <c r="A79" s="3">
        <v>27.4</v>
      </c>
      <c r="B79" s="3">
        <v>2.2814000000000001</v>
      </c>
      <c r="C79" s="3">
        <v>363.20999</v>
      </c>
      <c r="D79" s="4">
        <f t="shared" si="3"/>
        <v>5.7054054054054542E-3</v>
      </c>
      <c r="E79" s="4">
        <f t="shared" si="2"/>
        <v>6.0534998333333334</v>
      </c>
    </row>
    <row r="80" spans="1:5" x14ac:dyDescent="0.55000000000000004">
      <c r="A80" s="3">
        <v>27.5</v>
      </c>
      <c r="B80" s="3">
        <v>2.2896999999999998</v>
      </c>
      <c r="C80" s="3">
        <v>367.24000999999998</v>
      </c>
      <c r="D80" s="4">
        <f t="shared" si="3"/>
        <v>5.780180180180226E-3</v>
      </c>
      <c r="E80" s="4">
        <f t="shared" si="2"/>
        <v>6.1206668333333329</v>
      </c>
    </row>
    <row r="81" spans="1:5" x14ac:dyDescent="0.55000000000000004">
      <c r="A81" s="3">
        <v>27.6</v>
      </c>
      <c r="B81" s="3">
        <v>2.298</v>
      </c>
      <c r="C81" s="3">
        <v>371.26</v>
      </c>
      <c r="D81" s="4">
        <f t="shared" si="3"/>
        <v>5.8549549549550012E-3</v>
      </c>
      <c r="E81" s="4">
        <f t="shared" si="2"/>
        <v>6.1876666666666669</v>
      </c>
    </row>
    <row r="82" spans="1:5" x14ac:dyDescent="0.55000000000000004">
      <c r="A82" s="3">
        <v>27.7</v>
      </c>
      <c r="B82" s="3">
        <v>2.3064</v>
      </c>
      <c r="C82" s="3">
        <v>376.08999</v>
      </c>
      <c r="D82" s="4">
        <f t="shared" si="3"/>
        <v>5.9306306306306771E-3</v>
      </c>
      <c r="E82" s="4">
        <f t="shared" si="2"/>
        <v>6.2681665000000004</v>
      </c>
    </row>
    <row r="83" spans="1:5" x14ac:dyDescent="0.55000000000000004">
      <c r="A83" s="3">
        <v>27.8</v>
      </c>
      <c r="B83" s="3">
        <v>2.3147000000000002</v>
      </c>
      <c r="C83" s="3">
        <v>380.12000999999998</v>
      </c>
      <c r="D83" s="4">
        <f t="shared" si="3"/>
        <v>6.0054054054054559E-3</v>
      </c>
      <c r="E83" s="4">
        <f t="shared" si="2"/>
        <v>6.3353335</v>
      </c>
    </row>
    <row r="84" spans="1:5" x14ac:dyDescent="0.55000000000000004">
      <c r="A84" s="3">
        <v>27.9</v>
      </c>
      <c r="B84" s="3">
        <v>2.3231000000000002</v>
      </c>
      <c r="C84" s="3">
        <v>384.95</v>
      </c>
      <c r="D84" s="4">
        <f t="shared" si="3"/>
        <v>6.0810810810811317E-3</v>
      </c>
      <c r="E84" s="4">
        <f t="shared" si="2"/>
        <v>6.4158333333333335</v>
      </c>
    </row>
    <row r="85" spans="1:5" x14ac:dyDescent="0.55000000000000004">
      <c r="A85" s="3">
        <v>28</v>
      </c>
      <c r="B85" s="3">
        <v>2.3313999999999999</v>
      </c>
      <c r="C85" s="3">
        <v>388.97998999999999</v>
      </c>
      <c r="D85" s="4">
        <f t="shared" si="3"/>
        <v>6.1558558558559035E-3</v>
      </c>
      <c r="E85" s="4">
        <f t="shared" si="2"/>
        <v>6.4829998333333334</v>
      </c>
    </row>
    <row r="86" spans="1:5" x14ac:dyDescent="0.55000000000000004">
      <c r="A86" s="3">
        <v>28.1</v>
      </c>
      <c r="B86" s="3">
        <v>2.3397000000000001</v>
      </c>
      <c r="C86" s="3">
        <v>393.01001000000002</v>
      </c>
      <c r="D86" s="4">
        <f t="shared" si="3"/>
        <v>6.2306306306306788E-3</v>
      </c>
      <c r="E86" s="4">
        <f t="shared" si="2"/>
        <v>6.5501668333333338</v>
      </c>
    </row>
    <row r="87" spans="1:5" x14ac:dyDescent="0.55000000000000004">
      <c r="A87" s="3">
        <v>28.2</v>
      </c>
      <c r="B87" s="3">
        <v>2.3479999999999999</v>
      </c>
      <c r="C87" s="3">
        <v>397.83999</v>
      </c>
      <c r="D87" s="4">
        <f t="shared" si="3"/>
        <v>6.3054054054054506E-3</v>
      </c>
      <c r="E87" s="4">
        <f t="shared" si="2"/>
        <v>6.6306665000000002</v>
      </c>
    </row>
    <row r="88" spans="1:5" x14ac:dyDescent="0.55000000000000004">
      <c r="A88" s="3">
        <v>28.3</v>
      </c>
      <c r="B88" s="3">
        <v>2.3563999999999998</v>
      </c>
      <c r="C88" s="3">
        <v>401.87000999999998</v>
      </c>
      <c r="D88" s="4">
        <f t="shared" si="3"/>
        <v>6.3810810810811264E-3</v>
      </c>
      <c r="E88" s="4">
        <f t="shared" si="2"/>
        <v>6.6978334999999998</v>
      </c>
    </row>
    <row r="89" spans="1:5" x14ac:dyDescent="0.55000000000000004">
      <c r="A89" s="3">
        <v>28.4</v>
      </c>
      <c r="B89" s="3">
        <v>2.3647</v>
      </c>
      <c r="C89" s="3">
        <v>405.89</v>
      </c>
      <c r="D89" s="4">
        <f t="shared" si="3"/>
        <v>6.4558558558559052E-3</v>
      </c>
      <c r="E89" s="4">
        <f t="shared" si="2"/>
        <v>6.7648333333333328</v>
      </c>
    </row>
    <row r="90" spans="1:5" x14ac:dyDescent="0.55000000000000004">
      <c r="A90" s="3">
        <v>28.5</v>
      </c>
      <c r="B90" s="3">
        <v>2.3730000000000002</v>
      </c>
      <c r="C90" s="3">
        <v>409.91998999999998</v>
      </c>
      <c r="D90" s="4">
        <f t="shared" si="3"/>
        <v>6.5306306306306804E-3</v>
      </c>
      <c r="E90" s="4">
        <f t="shared" si="2"/>
        <v>6.8319998333333327</v>
      </c>
    </row>
    <row r="91" spans="1:5" x14ac:dyDescent="0.55000000000000004">
      <c r="A91" s="3">
        <v>28.6</v>
      </c>
      <c r="B91" s="3">
        <v>2.3814000000000002</v>
      </c>
      <c r="C91" s="3">
        <v>413.95001000000002</v>
      </c>
      <c r="D91" s="4">
        <f t="shared" si="3"/>
        <v>6.6063063063063563E-3</v>
      </c>
      <c r="E91" s="4">
        <f t="shared" si="2"/>
        <v>6.899166833333334</v>
      </c>
    </row>
    <row r="92" spans="1:5" x14ac:dyDescent="0.55000000000000004">
      <c r="A92" s="3">
        <v>28.7</v>
      </c>
      <c r="B92" s="3">
        <v>2.3896999999999999</v>
      </c>
      <c r="C92" s="3">
        <v>418.78</v>
      </c>
      <c r="D92" s="4">
        <f t="shared" si="3"/>
        <v>6.6810810810811281E-3</v>
      </c>
      <c r="E92" s="4">
        <f t="shared" si="2"/>
        <v>6.9796666666666658</v>
      </c>
    </row>
    <row r="93" spans="1:5" x14ac:dyDescent="0.55000000000000004">
      <c r="A93" s="3">
        <v>28.8</v>
      </c>
      <c r="B93" s="3">
        <v>2.3980999999999999</v>
      </c>
      <c r="C93" s="3">
        <v>422.79998999999998</v>
      </c>
      <c r="D93" s="4">
        <f t="shared" si="3"/>
        <v>6.756756756756804E-3</v>
      </c>
      <c r="E93" s="4">
        <f t="shared" si="2"/>
        <v>7.0466664999999997</v>
      </c>
    </row>
    <row r="94" spans="1:5" x14ac:dyDescent="0.55000000000000004">
      <c r="A94" s="3">
        <v>28.9</v>
      </c>
      <c r="B94" s="3">
        <v>2.4064000000000001</v>
      </c>
      <c r="C94" s="3">
        <v>426.83001000000002</v>
      </c>
      <c r="D94" s="4">
        <f t="shared" si="3"/>
        <v>6.8315315315315792E-3</v>
      </c>
      <c r="E94" s="4">
        <f t="shared" si="2"/>
        <v>7.1138335000000001</v>
      </c>
    </row>
    <row r="95" spans="1:5" x14ac:dyDescent="0.55000000000000004">
      <c r="A95" s="3">
        <v>29</v>
      </c>
      <c r="B95" s="3">
        <v>2.4146999999999998</v>
      </c>
      <c r="C95" s="3">
        <v>430.86</v>
      </c>
      <c r="D95" s="4">
        <f t="shared" si="3"/>
        <v>6.906306306306351E-3</v>
      </c>
      <c r="E95" s="4">
        <f t="shared" si="2"/>
        <v>7.181</v>
      </c>
    </row>
    <row r="96" spans="1:5" x14ac:dyDescent="0.55000000000000004">
      <c r="A96" s="3">
        <v>29.1</v>
      </c>
      <c r="B96" s="3">
        <v>2.423</v>
      </c>
      <c r="C96" s="3">
        <v>434.88999000000001</v>
      </c>
      <c r="D96" s="4">
        <f t="shared" si="3"/>
        <v>6.9810810810811297E-3</v>
      </c>
      <c r="E96" s="4">
        <f t="shared" si="2"/>
        <v>7.2481665</v>
      </c>
    </row>
    <row r="97" spans="1:5" x14ac:dyDescent="0.55000000000000004">
      <c r="A97" s="3">
        <v>29.2</v>
      </c>
      <c r="B97" s="3">
        <v>2.4314</v>
      </c>
      <c r="C97" s="3">
        <v>438.91001</v>
      </c>
      <c r="D97" s="4">
        <f t="shared" si="3"/>
        <v>7.0567567567568056E-3</v>
      </c>
      <c r="E97" s="4">
        <f t="shared" si="2"/>
        <v>7.3151668333333335</v>
      </c>
    </row>
    <row r="98" spans="1:5" x14ac:dyDescent="0.55000000000000004">
      <c r="A98" s="3">
        <v>29.3</v>
      </c>
      <c r="B98" s="3">
        <v>2.4397000000000002</v>
      </c>
      <c r="C98" s="3">
        <v>442.94</v>
      </c>
      <c r="D98" s="4">
        <f t="shared" si="3"/>
        <v>7.1315315315315809E-3</v>
      </c>
      <c r="E98" s="4">
        <f t="shared" si="2"/>
        <v>7.3823333333333334</v>
      </c>
    </row>
    <row r="99" spans="1:5" x14ac:dyDescent="0.55000000000000004">
      <c r="A99" s="3">
        <v>29.4</v>
      </c>
      <c r="B99" s="3">
        <v>2.448</v>
      </c>
      <c r="C99" s="3">
        <v>447.77001000000001</v>
      </c>
      <c r="D99" s="4">
        <f t="shared" si="3"/>
        <v>7.2063063063063527E-3</v>
      </c>
      <c r="E99" s="4">
        <f t="shared" si="2"/>
        <v>7.4628335000000003</v>
      </c>
    </row>
    <row r="100" spans="1:5" x14ac:dyDescent="0.55000000000000004">
      <c r="A100" s="3">
        <v>29.5</v>
      </c>
      <c r="B100" s="3">
        <v>2.4563999999999999</v>
      </c>
      <c r="C100" s="3">
        <v>451.8</v>
      </c>
      <c r="D100" s="4">
        <f t="shared" si="3"/>
        <v>7.2819819819820285E-3</v>
      </c>
      <c r="E100" s="4">
        <f t="shared" si="2"/>
        <v>7.53</v>
      </c>
    </row>
    <row r="101" spans="1:5" x14ac:dyDescent="0.55000000000000004">
      <c r="A101" s="3">
        <v>29.6</v>
      </c>
      <c r="B101" s="3">
        <v>2.4647000000000001</v>
      </c>
      <c r="C101" s="3">
        <v>455.02</v>
      </c>
      <c r="D101" s="4">
        <f t="shared" si="3"/>
        <v>7.3567567567568038E-3</v>
      </c>
      <c r="E101" s="4">
        <f t="shared" si="2"/>
        <v>7.5836666666666668</v>
      </c>
    </row>
    <row r="102" spans="1:5" x14ac:dyDescent="0.55000000000000004">
      <c r="A102" s="3">
        <v>29.7</v>
      </c>
      <c r="B102" s="3">
        <v>2.4731000000000001</v>
      </c>
      <c r="C102" s="3">
        <v>459.04998999999998</v>
      </c>
      <c r="D102" s="4">
        <f t="shared" si="3"/>
        <v>7.4324324324324797E-3</v>
      </c>
      <c r="E102" s="4">
        <f t="shared" si="2"/>
        <v>7.6508331666666667</v>
      </c>
    </row>
    <row r="103" spans="1:5" x14ac:dyDescent="0.55000000000000004">
      <c r="A103" s="3">
        <v>29.8</v>
      </c>
      <c r="B103" s="3">
        <v>2.4813999999999998</v>
      </c>
      <c r="C103" s="3">
        <v>463.07</v>
      </c>
      <c r="D103" s="4">
        <f t="shared" si="3"/>
        <v>7.5072072072072515E-3</v>
      </c>
      <c r="E103" s="4">
        <f t="shared" si="2"/>
        <v>7.7178333333333331</v>
      </c>
    </row>
    <row r="104" spans="1:5" x14ac:dyDescent="0.55000000000000004">
      <c r="A104" s="3">
        <v>29.9</v>
      </c>
      <c r="B104" s="3">
        <v>2.4897</v>
      </c>
      <c r="C104" s="3">
        <v>466.29</v>
      </c>
      <c r="D104" s="4">
        <f t="shared" si="3"/>
        <v>7.5819819819820302E-3</v>
      </c>
      <c r="E104" s="4">
        <f t="shared" si="2"/>
        <v>7.7715000000000005</v>
      </c>
    </row>
    <row r="105" spans="1:5" x14ac:dyDescent="0.55000000000000004">
      <c r="A105" s="3">
        <v>30</v>
      </c>
      <c r="B105" s="3">
        <v>2.4980000000000002</v>
      </c>
      <c r="C105" s="3">
        <v>470.31999000000002</v>
      </c>
      <c r="D105" s="4">
        <f t="shared" si="3"/>
        <v>7.6567567567568055E-3</v>
      </c>
      <c r="E105" s="4">
        <f t="shared" si="2"/>
        <v>7.8386665000000004</v>
      </c>
    </row>
    <row r="106" spans="1:5" x14ac:dyDescent="0.55000000000000004">
      <c r="A106" s="3">
        <v>30.1</v>
      </c>
      <c r="B106" s="3">
        <v>2.5064000000000002</v>
      </c>
      <c r="C106" s="3">
        <v>475.14997</v>
      </c>
      <c r="D106" s="4">
        <f t="shared" si="3"/>
        <v>7.7324324324324813E-3</v>
      </c>
      <c r="E106" s="4">
        <f t="shared" si="2"/>
        <v>7.9191661666666668</v>
      </c>
    </row>
    <row r="107" spans="1:5" x14ac:dyDescent="0.55000000000000004">
      <c r="A107" s="3">
        <v>30.2</v>
      </c>
      <c r="B107" s="3">
        <v>2.5146999999999999</v>
      </c>
      <c r="C107" s="3">
        <v>478.37002000000001</v>
      </c>
      <c r="D107" s="4">
        <f t="shared" si="3"/>
        <v>7.8072072072072531E-3</v>
      </c>
      <c r="E107" s="4">
        <f t="shared" si="2"/>
        <v>7.9728336666666673</v>
      </c>
    </row>
    <row r="108" spans="1:5" x14ac:dyDescent="0.55000000000000004">
      <c r="A108" s="3">
        <v>30.3</v>
      </c>
      <c r="B108" s="3">
        <v>2.5230000000000001</v>
      </c>
      <c r="C108" s="3">
        <v>482.39999</v>
      </c>
      <c r="D108" s="4">
        <f t="shared" si="3"/>
        <v>7.8819819819820319E-3</v>
      </c>
      <c r="E108" s="4">
        <f t="shared" si="2"/>
        <v>8.0399998333333329</v>
      </c>
    </row>
    <row r="109" spans="1:5" x14ac:dyDescent="0.55000000000000004">
      <c r="A109" s="3">
        <v>30.4</v>
      </c>
      <c r="B109" s="3">
        <v>2.5314000000000001</v>
      </c>
      <c r="C109" s="3">
        <v>485.61998</v>
      </c>
      <c r="D109" s="4">
        <f t="shared" si="3"/>
        <v>7.9576576576577077E-3</v>
      </c>
      <c r="E109" s="4">
        <f t="shared" si="2"/>
        <v>8.0936663333333332</v>
      </c>
    </row>
    <row r="110" spans="1:5" x14ac:dyDescent="0.55000000000000004">
      <c r="A110" s="3">
        <v>30.5</v>
      </c>
      <c r="B110" s="3">
        <v>2.5396999999999998</v>
      </c>
      <c r="C110" s="3">
        <v>489.65</v>
      </c>
      <c r="D110" s="4">
        <f t="shared" si="3"/>
        <v>8.0324324324324795E-3</v>
      </c>
      <c r="E110" s="4">
        <f t="shared" si="2"/>
        <v>8.1608333333333327</v>
      </c>
    </row>
    <row r="111" spans="1:5" x14ac:dyDescent="0.55000000000000004">
      <c r="A111" s="3">
        <v>30.6</v>
      </c>
      <c r="B111" s="3">
        <v>2.5480999999999998</v>
      </c>
      <c r="C111" s="3">
        <v>493.68002000000001</v>
      </c>
      <c r="D111" s="4">
        <f t="shared" si="3"/>
        <v>8.1081081081081554E-3</v>
      </c>
      <c r="E111" s="4">
        <f t="shared" si="2"/>
        <v>8.228000333333334</v>
      </c>
    </row>
    <row r="112" spans="1:5" x14ac:dyDescent="0.55000000000000004">
      <c r="A112" s="3">
        <v>30.7</v>
      </c>
      <c r="B112" s="3">
        <v>2.5564</v>
      </c>
      <c r="C112" s="3">
        <v>497.69997999999998</v>
      </c>
      <c r="D112" s="4">
        <f t="shared" si="3"/>
        <v>8.1828828828829307E-3</v>
      </c>
      <c r="E112" s="4">
        <f t="shared" si="2"/>
        <v>8.2949996666666657</v>
      </c>
    </row>
    <row r="113" spans="1:5" x14ac:dyDescent="0.55000000000000004">
      <c r="A113" s="3">
        <v>30.8</v>
      </c>
      <c r="B113" s="3">
        <v>2.5647000000000002</v>
      </c>
      <c r="C113" s="3">
        <v>500.92002000000002</v>
      </c>
      <c r="D113" s="4">
        <f t="shared" si="3"/>
        <v>8.2576576576577059E-3</v>
      </c>
      <c r="E113" s="4">
        <f t="shared" si="2"/>
        <v>8.3486670000000007</v>
      </c>
    </row>
    <row r="114" spans="1:5" x14ac:dyDescent="0.55000000000000004">
      <c r="A114" s="3">
        <v>30.9</v>
      </c>
      <c r="B114" s="3">
        <v>2.573</v>
      </c>
      <c r="C114" s="3">
        <v>504.15001999999998</v>
      </c>
      <c r="D114" s="4">
        <f t="shared" si="3"/>
        <v>8.3324324324324812E-3</v>
      </c>
      <c r="E114" s="4">
        <f t="shared" si="2"/>
        <v>8.4025003333333323</v>
      </c>
    </row>
    <row r="115" spans="1:5" x14ac:dyDescent="0.55000000000000004">
      <c r="A115" s="3">
        <v>31</v>
      </c>
      <c r="B115" s="3">
        <v>2.5813999999999999</v>
      </c>
      <c r="C115" s="3">
        <v>508.16998000000001</v>
      </c>
      <c r="D115" s="4">
        <f t="shared" si="3"/>
        <v>8.4081081081081536E-3</v>
      </c>
      <c r="E115" s="4">
        <f t="shared" si="2"/>
        <v>8.4694996666666675</v>
      </c>
    </row>
    <row r="116" spans="1:5" x14ac:dyDescent="0.55000000000000004">
      <c r="A116" s="3">
        <v>31.1</v>
      </c>
      <c r="B116" s="3">
        <v>2.5897000000000001</v>
      </c>
      <c r="C116" s="3">
        <v>512.20000000000005</v>
      </c>
      <c r="D116" s="4">
        <f t="shared" si="3"/>
        <v>8.4828828828829323E-3</v>
      </c>
      <c r="E116" s="4">
        <f t="shared" si="2"/>
        <v>8.5366666666666671</v>
      </c>
    </row>
    <row r="117" spans="1:5" x14ac:dyDescent="0.55000000000000004">
      <c r="A117" s="3">
        <v>31.2</v>
      </c>
      <c r="B117" s="3">
        <v>2.5979999999999999</v>
      </c>
      <c r="C117" s="3">
        <v>515.41998999999998</v>
      </c>
      <c r="D117" s="4">
        <f t="shared" si="3"/>
        <v>8.5576576576577041E-3</v>
      </c>
      <c r="E117" s="4">
        <f t="shared" si="2"/>
        <v>8.5903331666666656</v>
      </c>
    </row>
    <row r="118" spans="1:5" x14ac:dyDescent="0.55000000000000004">
      <c r="A118" s="3">
        <v>31.3</v>
      </c>
      <c r="B118" s="3">
        <v>2.6063999999999998</v>
      </c>
      <c r="C118" s="3">
        <v>518.63998000000004</v>
      </c>
      <c r="D118" s="4">
        <f t="shared" si="3"/>
        <v>8.63333333333338E-3</v>
      </c>
      <c r="E118" s="4">
        <f t="shared" si="2"/>
        <v>8.6439996666666676</v>
      </c>
    </row>
    <row r="119" spans="1:5" x14ac:dyDescent="0.55000000000000004">
      <c r="A119" s="3">
        <v>31.4</v>
      </c>
      <c r="B119" s="3">
        <v>2.6147</v>
      </c>
      <c r="C119" s="3">
        <v>521.85996999999998</v>
      </c>
      <c r="D119" s="4">
        <f t="shared" si="3"/>
        <v>8.7081081081081552E-3</v>
      </c>
      <c r="E119" s="4">
        <f t="shared" si="2"/>
        <v>8.6976661666666661</v>
      </c>
    </row>
    <row r="120" spans="1:5" x14ac:dyDescent="0.55000000000000004">
      <c r="A120" s="3">
        <v>31.5</v>
      </c>
      <c r="B120" s="3">
        <v>2.6231</v>
      </c>
      <c r="C120" s="3">
        <v>525.88999000000001</v>
      </c>
      <c r="D120" s="4">
        <f t="shared" si="3"/>
        <v>8.7837837837838311E-3</v>
      </c>
      <c r="E120" s="4">
        <f t="shared" si="2"/>
        <v>8.7648331666666675</v>
      </c>
    </row>
    <row r="121" spans="1:5" x14ac:dyDescent="0.55000000000000004">
      <c r="A121" s="3">
        <v>31.6</v>
      </c>
      <c r="B121" s="3">
        <v>2.6314000000000002</v>
      </c>
      <c r="C121" s="3">
        <v>529.10997999999995</v>
      </c>
      <c r="D121" s="4">
        <f t="shared" si="3"/>
        <v>8.8585585585586064E-3</v>
      </c>
      <c r="E121" s="4">
        <f t="shared" si="2"/>
        <v>8.818499666666666</v>
      </c>
    </row>
    <row r="122" spans="1:5" x14ac:dyDescent="0.55000000000000004">
      <c r="A122" s="3">
        <v>31.7</v>
      </c>
      <c r="B122" s="3">
        <v>2.6396999999999999</v>
      </c>
      <c r="C122" s="3">
        <v>532.32997999999998</v>
      </c>
      <c r="D122" s="4">
        <f t="shared" si="3"/>
        <v>8.9333333333333816E-3</v>
      </c>
      <c r="E122" s="4">
        <f t="shared" si="2"/>
        <v>8.8721663333333325</v>
      </c>
    </row>
    <row r="123" spans="1:5" x14ac:dyDescent="0.55000000000000004">
      <c r="A123" s="3">
        <v>31.8</v>
      </c>
      <c r="B123" s="3">
        <v>2.6480000000000001</v>
      </c>
      <c r="C123" s="3">
        <v>535.55002000000002</v>
      </c>
      <c r="D123" s="4">
        <f t="shared" si="3"/>
        <v>9.0081081081081569E-3</v>
      </c>
      <c r="E123" s="4">
        <f t="shared" si="2"/>
        <v>8.9258336666666676</v>
      </c>
    </row>
    <row r="124" spans="1:5" x14ac:dyDescent="0.55000000000000004">
      <c r="A124" s="3">
        <v>31.9</v>
      </c>
      <c r="B124" s="3">
        <v>2.6564000000000001</v>
      </c>
      <c r="C124" s="3">
        <v>538.78002000000004</v>
      </c>
      <c r="D124" s="4">
        <f t="shared" si="3"/>
        <v>9.0837837837838328E-3</v>
      </c>
      <c r="E124" s="4">
        <f t="shared" si="2"/>
        <v>8.979667000000001</v>
      </c>
    </row>
    <row r="125" spans="1:5" x14ac:dyDescent="0.55000000000000004">
      <c r="A125" s="3">
        <v>32</v>
      </c>
      <c r="B125" s="3">
        <v>2.6646999999999998</v>
      </c>
      <c r="C125" s="3">
        <v>542.00000999999997</v>
      </c>
      <c r="D125" s="4">
        <f t="shared" si="3"/>
        <v>9.1585585585586046E-3</v>
      </c>
      <c r="E125" s="4">
        <f t="shared" ref="E125:E165" si="4">C125/$L$4</f>
        <v>9.0333334999999995</v>
      </c>
    </row>
    <row r="126" spans="1:5" x14ac:dyDescent="0.55000000000000004">
      <c r="A126" s="3">
        <v>32.1</v>
      </c>
      <c r="B126" s="3">
        <v>2.673</v>
      </c>
      <c r="C126" s="3">
        <v>546.02003000000002</v>
      </c>
      <c r="D126" s="4">
        <f t="shared" si="3"/>
        <v>9.2333333333333798E-3</v>
      </c>
      <c r="E126" s="4">
        <f t="shared" si="4"/>
        <v>9.1003338333333339</v>
      </c>
    </row>
    <row r="127" spans="1:5" x14ac:dyDescent="0.55000000000000004">
      <c r="A127" s="3">
        <v>32.200000000000003</v>
      </c>
      <c r="B127" s="3">
        <v>2.6814</v>
      </c>
      <c r="C127" s="3">
        <v>548.43998999999997</v>
      </c>
      <c r="D127" s="4">
        <f t="shared" si="3"/>
        <v>9.3090090090090557E-3</v>
      </c>
      <c r="E127" s="4">
        <f t="shared" si="4"/>
        <v>9.1406665</v>
      </c>
    </row>
    <row r="128" spans="1:5" x14ac:dyDescent="0.55000000000000004">
      <c r="A128" s="3">
        <v>32.299999999999997</v>
      </c>
      <c r="B128" s="3">
        <v>2.6897000000000002</v>
      </c>
      <c r="C128" s="3">
        <v>551.65998999999999</v>
      </c>
      <c r="D128" s="4">
        <f t="shared" si="3"/>
        <v>9.3837837837838344E-3</v>
      </c>
      <c r="E128" s="4">
        <f t="shared" si="4"/>
        <v>9.1943331666666666</v>
      </c>
    </row>
    <row r="129" spans="1:5" x14ac:dyDescent="0.55000000000000004">
      <c r="A129" s="3">
        <v>32.4</v>
      </c>
      <c r="B129" s="3">
        <v>2.6981000000000002</v>
      </c>
      <c r="C129" s="3">
        <v>554.87998000000005</v>
      </c>
      <c r="D129" s="4">
        <f t="shared" si="3"/>
        <v>9.4594594594595068E-3</v>
      </c>
      <c r="E129" s="4">
        <f t="shared" si="4"/>
        <v>9.2479996666666668</v>
      </c>
    </row>
    <row r="130" spans="1:5" x14ac:dyDescent="0.55000000000000004">
      <c r="A130" s="3">
        <v>32.5</v>
      </c>
      <c r="B130" s="3">
        <v>2.7063999999999999</v>
      </c>
      <c r="C130" s="3">
        <v>558.10002999999995</v>
      </c>
      <c r="D130" s="4">
        <f t="shared" si="3"/>
        <v>9.5342342342342821E-3</v>
      </c>
      <c r="E130" s="4">
        <f t="shared" si="4"/>
        <v>9.3016671666666664</v>
      </c>
    </row>
    <row r="131" spans="1:5" x14ac:dyDescent="0.55000000000000004">
      <c r="A131" s="3">
        <v>32.6</v>
      </c>
      <c r="B131" s="3">
        <v>2.7147000000000001</v>
      </c>
      <c r="C131" s="3">
        <v>561.33001999999999</v>
      </c>
      <c r="D131" s="4">
        <f t="shared" si="3"/>
        <v>9.6090090090090573E-3</v>
      </c>
      <c r="E131" s="4">
        <f t="shared" si="4"/>
        <v>9.3555003333333335</v>
      </c>
    </row>
    <row r="132" spans="1:5" x14ac:dyDescent="0.55000000000000004">
      <c r="A132" s="3">
        <v>32.700000000000003</v>
      </c>
      <c r="B132" s="3">
        <v>2.7229999999999999</v>
      </c>
      <c r="C132" s="3">
        <v>564.55001000000004</v>
      </c>
      <c r="D132" s="4">
        <f t="shared" ref="D132:D165" si="5">((B132/$L$3))-0.0148477477477477</f>
        <v>9.6837837837838291E-3</v>
      </c>
      <c r="E132" s="4">
        <f t="shared" si="4"/>
        <v>9.4091668333333338</v>
      </c>
    </row>
    <row r="133" spans="1:5" x14ac:dyDescent="0.55000000000000004">
      <c r="A133" s="3">
        <v>32.799999999999997</v>
      </c>
      <c r="B133" s="3">
        <v>2.7313999999999998</v>
      </c>
      <c r="C133" s="3">
        <v>566.95997999999997</v>
      </c>
      <c r="D133" s="4">
        <f t="shared" si="5"/>
        <v>9.759459459459505E-3</v>
      </c>
      <c r="E133" s="4">
        <f t="shared" si="4"/>
        <v>9.4493329999999993</v>
      </c>
    </row>
    <row r="134" spans="1:5" x14ac:dyDescent="0.55000000000000004">
      <c r="A134" s="3">
        <v>32.9</v>
      </c>
      <c r="B134" s="3">
        <v>2.7397</v>
      </c>
      <c r="C134" s="3">
        <v>570.18002000000001</v>
      </c>
      <c r="D134" s="4">
        <f t="shared" si="5"/>
        <v>9.8342342342342803E-3</v>
      </c>
      <c r="E134" s="4">
        <f t="shared" si="4"/>
        <v>9.5030003333333344</v>
      </c>
    </row>
    <row r="135" spans="1:5" x14ac:dyDescent="0.55000000000000004">
      <c r="A135" s="3">
        <v>33</v>
      </c>
      <c r="B135" s="3">
        <v>2.7480000000000002</v>
      </c>
      <c r="C135" s="3">
        <v>572.59999000000005</v>
      </c>
      <c r="D135" s="4">
        <f t="shared" si="5"/>
        <v>9.909009009009059E-3</v>
      </c>
      <c r="E135" s="4">
        <f t="shared" si="4"/>
        <v>9.5433331666666668</v>
      </c>
    </row>
    <row r="136" spans="1:5" x14ac:dyDescent="0.55000000000000004">
      <c r="A136" s="3">
        <v>33.1</v>
      </c>
      <c r="B136" s="3">
        <v>2.7564000000000002</v>
      </c>
      <c r="C136" s="3">
        <v>575.81997999999999</v>
      </c>
      <c r="D136" s="4">
        <f t="shared" si="5"/>
        <v>9.9846846846847349E-3</v>
      </c>
      <c r="E136" s="4">
        <f t="shared" si="4"/>
        <v>9.596999666666667</v>
      </c>
    </row>
    <row r="137" spans="1:5" x14ac:dyDescent="0.55000000000000004">
      <c r="A137" s="3">
        <v>33.200000000000003</v>
      </c>
      <c r="B137" s="3">
        <v>2.7646999999999999</v>
      </c>
      <c r="C137" s="3">
        <v>579.03998000000001</v>
      </c>
      <c r="D137" s="4">
        <f t="shared" si="5"/>
        <v>1.0059459459459507E-2</v>
      </c>
      <c r="E137" s="4">
        <f t="shared" si="4"/>
        <v>9.6506663333333336</v>
      </c>
    </row>
    <row r="138" spans="1:5" x14ac:dyDescent="0.55000000000000004">
      <c r="A138" s="3">
        <v>33.299999999999997</v>
      </c>
      <c r="B138" s="3">
        <v>2.7730999999999999</v>
      </c>
      <c r="C138" s="3">
        <v>581.46</v>
      </c>
      <c r="D138" s="4">
        <f t="shared" si="5"/>
        <v>1.0135135135135183E-2</v>
      </c>
      <c r="E138" s="4">
        <f t="shared" si="4"/>
        <v>9.6910000000000007</v>
      </c>
    </row>
    <row r="139" spans="1:5" x14ac:dyDescent="0.55000000000000004">
      <c r="A139" s="3">
        <v>33.4</v>
      </c>
      <c r="B139" s="3">
        <v>2.7814000000000001</v>
      </c>
      <c r="C139" s="3">
        <v>584.67998999999998</v>
      </c>
      <c r="D139" s="4">
        <f t="shared" si="5"/>
        <v>1.0209909909909958E-2</v>
      </c>
      <c r="E139" s="4">
        <f t="shared" si="4"/>
        <v>9.7446664999999992</v>
      </c>
    </row>
    <row r="140" spans="1:5" x14ac:dyDescent="0.55000000000000004">
      <c r="A140" s="3">
        <v>33.5</v>
      </c>
      <c r="B140" s="3">
        <v>2.7896999999999998</v>
      </c>
      <c r="C140" s="3">
        <v>587.10001</v>
      </c>
      <c r="D140" s="4">
        <f t="shared" si="5"/>
        <v>1.028468468468473E-2</v>
      </c>
      <c r="E140" s="4">
        <f t="shared" si="4"/>
        <v>9.7850001666666664</v>
      </c>
    </row>
    <row r="141" spans="1:5" x14ac:dyDescent="0.55000000000000004">
      <c r="A141" s="3">
        <v>33.6</v>
      </c>
      <c r="B141" s="3">
        <v>2.798</v>
      </c>
      <c r="C141" s="3">
        <v>589.50998000000004</v>
      </c>
      <c r="D141" s="4">
        <f t="shared" si="5"/>
        <v>1.0359459459459508E-2</v>
      </c>
      <c r="E141" s="4">
        <f t="shared" si="4"/>
        <v>9.8251663333333337</v>
      </c>
    </row>
    <row r="142" spans="1:5" x14ac:dyDescent="0.55000000000000004">
      <c r="A142" s="3">
        <v>33.700000000000003</v>
      </c>
      <c r="B142" s="3">
        <v>2.8064</v>
      </c>
      <c r="C142" s="3">
        <v>591.92999999999995</v>
      </c>
      <c r="D142" s="4">
        <f t="shared" si="5"/>
        <v>1.0435135135135184E-2</v>
      </c>
      <c r="E142" s="4">
        <f t="shared" si="4"/>
        <v>9.865499999999999</v>
      </c>
    </row>
    <row r="143" spans="1:5" x14ac:dyDescent="0.55000000000000004">
      <c r="A143" s="3">
        <v>33.799999999999997</v>
      </c>
      <c r="B143" s="3">
        <v>2.8147000000000002</v>
      </c>
      <c r="C143" s="3">
        <v>595.14999</v>
      </c>
      <c r="D143" s="4">
        <f t="shared" si="5"/>
        <v>1.0509909909909959E-2</v>
      </c>
      <c r="E143" s="4">
        <f t="shared" si="4"/>
        <v>9.9191664999999993</v>
      </c>
    </row>
    <row r="144" spans="1:5" x14ac:dyDescent="0.55000000000000004">
      <c r="A144" s="3">
        <v>33.9</v>
      </c>
      <c r="B144" s="3">
        <v>2.823</v>
      </c>
      <c r="C144" s="3">
        <v>596.75999000000002</v>
      </c>
      <c r="D144" s="4">
        <f t="shared" si="5"/>
        <v>1.0584684684684731E-2</v>
      </c>
      <c r="E144" s="4">
        <f t="shared" si="4"/>
        <v>9.9459998333333335</v>
      </c>
    </row>
    <row r="145" spans="1:5" x14ac:dyDescent="0.55000000000000004">
      <c r="A145" s="3">
        <v>34</v>
      </c>
      <c r="B145" s="3">
        <v>2.8313999999999999</v>
      </c>
      <c r="C145" s="3">
        <v>599.18001000000004</v>
      </c>
      <c r="D145" s="4">
        <f t="shared" si="5"/>
        <v>1.0660360360360407E-2</v>
      </c>
      <c r="E145" s="4">
        <f t="shared" si="4"/>
        <v>9.9863335000000006</v>
      </c>
    </row>
    <row r="146" spans="1:5" x14ac:dyDescent="0.55000000000000004">
      <c r="A146" s="3">
        <v>34.1</v>
      </c>
      <c r="B146" s="3">
        <v>2.8397000000000001</v>
      </c>
      <c r="C146" s="3">
        <v>601.58997999999997</v>
      </c>
      <c r="D146" s="4">
        <f t="shared" si="5"/>
        <v>1.0735135135135182E-2</v>
      </c>
      <c r="E146" s="4">
        <f t="shared" si="4"/>
        <v>10.026499666666666</v>
      </c>
    </row>
    <row r="147" spans="1:5" x14ac:dyDescent="0.55000000000000004">
      <c r="A147" s="3">
        <v>34.200000000000003</v>
      </c>
      <c r="B147" s="3">
        <v>2.8481000000000001</v>
      </c>
      <c r="C147" s="3">
        <v>604.01</v>
      </c>
      <c r="D147" s="4">
        <f t="shared" si="5"/>
        <v>1.0810810810810858E-2</v>
      </c>
      <c r="E147" s="4">
        <f t="shared" si="4"/>
        <v>10.066833333333333</v>
      </c>
    </row>
    <row r="148" spans="1:5" x14ac:dyDescent="0.55000000000000004">
      <c r="A148" s="3">
        <v>34.299999999999997</v>
      </c>
      <c r="B148" s="3">
        <v>2.8563999999999998</v>
      </c>
      <c r="C148" s="3">
        <v>606.43002000000001</v>
      </c>
      <c r="D148" s="4">
        <f t="shared" si="5"/>
        <v>1.088558558558563E-2</v>
      </c>
      <c r="E148" s="4">
        <f t="shared" si="4"/>
        <v>10.107167</v>
      </c>
    </row>
    <row r="149" spans="1:5" x14ac:dyDescent="0.55000000000000004">
      <c r="A149" s="3">
        <v>34.4</v>
      </c>
      <c r="B149" s="3">
        <v>2.8647</v>
      </c>
      <c r="C149" s="3">
        <v>608.04002000000003</v>
      </c>
      <c r="D149" s="4">
        <f t="shared" si="5"/>
        <v>1.0960360360360409E-2</v>
      </c>
      <c r="E149" s="4">
        <f t="shared" si="4"/>
        <v>10.134000333333335</v>
      </c>
    </row>
    <row r="150" spans="1:5" x14ac:dyDescent="0.55000000000000004">
      <c r="A150" s="3">
        <v>34.5</v>
      </c>
      <c r="B150" s="3">
        <v>2.8730000000000002</v>
      </c>
      <c r="C150" s="3">
        <v>610.44997999999998</v>
      </c>
      <c r="D150" s="4">
        <f t="shared" si="5"/>
        <v>1.1035135135135184E-2</v>
      </c>
      <c r="E150" s="4">
        <f t="shared" si="4"/>
        <v>10.174166333333334</v>
      </c>
    </row>
    <row r="151" spans="1:5" x14ac:dyDescent="0.55000000000000004">
      <c r="A151" s="3">
        <v>34.6</v>
      </c>
      <c r="B151" s="3">
        <v>2.8814000000000002</v>
      </c>
      <c r="C151" s="3">
        <v>612.05998</v>
      </c>
      <c r="D151" s="4">
        <f t="shared" si="5"/>
        <v>1.111081081081086E-2</v>
      </c>
      <c r="E151" s="4">
        <f t="shared" si="4"/>
        <v>10.200999666666666</v>
      </c>
    </row>
    <row r="152" spans="1:5" x14ac:dyDescent="0.55000000000000004">
      <c r="A152" s="3">
        <v>34.700000000000003</v>
      </c>
      <c r="B152" s="3">
        <v>2.8896999999999999</v>
      </c>
      <c r="C152" s="3">
        <v>613.66998000000001</v>
      </c>
      <c r="D152" s="4">
        <f t="shared" si="5"/>
        <v>1.1185585585585632E-2</v>
      </c>
      <c r="E152" s="4">
        <f t="shared" si="4"/>
        <v>10.227833</v>
      </c>
    </row>
    <row r="153" spans="1:5" x14ac:dyDescent="0.55000000000000004">
      <c r="A153" s="3">
        <v>34.799999999999997</v>
      </c>
      <c r="B153" s="3">
        <v>2.8980000000000001</v>
      </c>
      <c r="C153" s="3">
        <v>615.27997000000005</v>
      </c>
      <c r="D153" s="4">
        <f t="shared" si="5"/>
        <v>1.126036036036041E-2</v>
      </c>
      <c r="E153" s="4">
        <f t="shared" si="4"/>
        <v>10.254666166666668</v>
      </c>
    </row>
    <row r="154" spans="1:5" x14ac:dyDescent="0.55000000000000004">
      <c r="A154" s="3">
        <v>34.9</v>
      </c>
      <c r="B154" s="3">
        <v>2.9064000000000001</v>
      </c>
      <c r="C154" s="3">
        <v>616.89002000000005</v>
      </c>
      <c r="D154" s="4">
        <f t="shared" si="5"/>
        <v>1.1336036036036083E-2</v>
      </c>
      <c r="E154" s="4">
        <f t="shared" si="4"/>
        <v>10.281500333333334</v>
      </c>
    </row>
    <row r="155" spans="1:5" x14ac:dyDescent="0.55000000000000004">
      <c r="A155" s="3">
        <v>35</v>
      </c>
      <c r="B155" s="3">
        <v>2.9146999999999998</v>
      </c>
      <c r="C155" s="3">
        <v>618.51002000000005</v>
      </c>
      <c r="D155" s="4">
        <f t="shared" si="5"/>
        <v>1.1410810810810858E-2</v>
      </c>
      <c r="E155" s="4">
        <f t="shared" si="4"/>
        <v>10.308500333333335</v>
      </c>
    </row>
    <row r="156" spans="1:5" x14ac:dyDescent="0.55000000000000004">
      <c r="A156" s="3">
        <v>35.1</v>
      </c>
      <c r="B156" s="3">
        <v>2.9230999999999998</v>
      </c>
      <c r="C156" s="3">
        <v>619.30998999999997</v>
      </c>
      <c r="D156" s="4">
        <f t="shared" si="5"/>
        <v>1.1486486486486534E-2</v>
      </c>
      <c r="E156" s="4">
        <f t="shared" si="4"/>
        <v>10.321833166666666</v>
      </c>
    </row>
    <row r="157" spans="1:5" x14ac:dyDescent="0.55000000000000004">
      <c r="A157" s="3">
        <v>35.200000000000003</v>
      </c>
      <c r="B157" s="3">
        <v>2.9314</v>
      </c>
      <c r="C157" s="3">
        <v>620.12001999999995</v>
      </c>
      <c r="D157" s="4">
        <f t="shared" si="5"/>
        <v>1.1561261261261309E-2</v>
      </c>
      <c r="E157" s="4">
        <f t="shared" si="4"/>
        <v>10.335333666666665</v>
      </c>
    </row>
    <row r="158" spans="1:5" x14ac:dyDescent="0.55000000000000004">
      <c r="A158" s="3">
        <v>35.299999999999997</v>
      </c>
      <c r="B158" s="3">
        <v>2.9397000000000002</v>
      </c>
      <c r="C158" s="3">
        <v>620.91998999999998</v>
      </c>
      <c r="D158" s="4">
        <f t="shared" si="5"/>
        <v>1.1636036036036084E-2</v>
      </c>
      <c r="E158" s="4">
        <f t="shared" si="4"/>
        <v>10.3486665</v>
      </c>
    </row>
    <row r="159" spans="1:5" x14ac:dyDescent="0.55000000000000004">
      <c r="A159" s="3">
        <v>35.4</v>
      </c>
      <c r="B159" s="3">
        <v>2.948</v>
      </c>
      <c r="C159" s="3">
        <v>621.73000999999999</v>
      </c>
      <c r="D159" s="4">
        <f t="shared" si="5"/>
        <v>1.1710810810810856E-2</v>
      </c>
      <c r="E159" s="4">
        <f t="shared" si="4"/>
        <v>10.362166833333333</v>
      </c>
    </row>
    <row r="160" spans="1:5" x14ac:dyDescent="0.55000000000000004">
      <c r="A160" s="3">
        <v>35.5</v>
      </c>
      <c r="B160" s="3">
        <v>2.9563999999999999</v>
      </c>
      <c r="C160" s="3">
        <v>621.73000999999999</v>
      </c>
      <c r="D160" s="4">
        <f t="shared" si="5"/>
        <v>1.1786486486486532E-2</v>
      </c>
      <c r="E160" s="4">
        <f t="shared" si="4"/>
        <v>10.362166833333333</v>
      </c>
    </row>
    <row r="161" spans="1:5" x14ac:dyDescent="0.55000000000000004">
      <c r="A161" s="3">
        <v>35.6</v>
      </c>
      <c r="B161" s="3">
        <v>2.9647000000000001</v>
      </c>
      <c r="C161" s="3">
        <v>620.91998999999998</v>
      </c>
      <c r="D161" s="4">
        <f t="shared" si="5"/>
        <v>1.1861261261261311E-2</v>
      </c>
      <c r="E161" s="4">
        <f t="shared" si="4"/>
        <v>10.3486665</v>
      </c>
    </row>
    <row r="162" spans="1:5" x14ac:dyDescent="0.55000000000000004">
      <c r="A162" s="3">
        <v>35.700000000000003</v>
      </c>
      <c r="B162" s="3">
        <v>2.9729999999999999</v>
      </c>
      <c r="C162" s="3">
        <v>620.12001999999995</v>
      </c>
      <c r="D162" s="4">
        <f t="shared" si="5"/>
        <v>1.1936036036036083E-2</v>
      </c>
      <c r="E162" s="4">
        <f t="shared" si="4"/>
        <v>10.335333666666665</v>
      </c>
    </row>
    <row r="163" spans="1:5" x14ac:dyDescent="0.55000000000000004">
      <c r="A163" s="3">
        <v>35.799999999999997</v>
      </c>
      <c r="B163" s="3">
        <v>2.9813999999999998</v>
      </c>
      <c r="C163" s="3">
        <v>617.70000000000005</v>
      </c>
      <c r="D163" s="4">
        <f t="shared" si="5"/>
        <v>1.2011711711711759E-2</v>
      </c>
      <c r="E163" s="4">
        <f t="shared" si="4"/>
        <v>10.295</v>
      </c>
    </row>
    <row r="164" spans="1:5" x14ac:dyDescent="0.55000000000000004">
      <c r="A164" s="3">
        <v>35.9</v>
      </c>
      <c r="B164" s="3">
        <v>2.9897</v>
      </c>
      <c r="C164" s="3">
        <v>613.66998000000001</v>
      </c>
      <c r="D164" s="4">
        <f t="shared" si="5"/>
        <v>1.2086486486486534E-2</v>
      </c>
      <c r="E164" s="4">
        <f t="shared" si="4"/>
        <v>10.227833</v>
      </c>
    </row>
    <row r="165" spans="1:5" x14ac:dyDescent="0.55000000000000004">
      <c r="D165" s="4"/>
      <c r="E165" s="4"/>
    </row>
    <row r="166" spans="1:5" x14ac:dyDescent="0.55000000000000004">
      <c r="D166" s="4"/>
      <c r="E166" s="4"/>
    </row>
    <row r="167" spans="1:5" x14ac:dyDescent="0.55000000000000004">
      <c r="D167" s="4"/>
      <c r="E167" s="4"/>
    </row>
    <row r="168" spans="1:5" x14ac:dyDescent="0.55000000000000004">
      <c r="D168" s="4"/>
      <c r="E168" s="4"/>
    </row>
    <row r="169" spans="1:5" x14ac:dyDescent="0.55000000000000004">
      <c r="D169" s="4"/>
      <c r="E169" s="4"/>
    </row>
    <row r="170" spans="1:5" x14ac:dyDescent="0.55000000000000004">
      <c r="D170" s="4"/>
      <c r="E170" s="4"/>
    </row>
    <row r="171" spans="1:5" x14ac:dyDescent="0.55000000000000004">
      <c r="D171" s="4"/>
      <c r="E171" s="4"/>
    </row>
    <row r="172" spans="1:5" x14ac:dyDescent="0.55000000000000004">
      <c r="D172" s="4"/>
      <c r="E172" s="4"/>
    </row>
    <row r="173" spans="1:5" x14ac:dyDescent="0.55000000000000004">
      <c r="D173" s="4"/>
      <c r="E173" s="4"/>
    </row>
    <row r="174" spans="1:5" x14ac:dyDescent="0.55000000000000004">
      <c r="D174" s="4"/>
      <c r="E174" s="4"/>
    </row>
  </sheetData>
  <pageMargins left="0.7" right="0.7" top="0.75" bottom="0.75" header="0.3" footer="0.3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D1703F-3730-4116-A76A-1F37169916CE}">
  <dimension ref="A1:M162"/>
  <sheetViews>
    <sheetView workbookViewId="0">
      <selection activeCell="H20" sqref="H20"/>
    </sheetView>
  </sheetViews>
  <sheetFormatPr defaultRowHeight="14.4" x14ac:dyDescent="0.55000000000000004"/>
  <cols>
    <col min="1" max="3" width="8.83984375" style="3"/>
    <col min="4" max="4" width="11.20703125" customWidth="1"/>
    <col min="5" max="5" width="7.05078125" customWidth="1"/>
  </cols>
  <sheetData>
    <row r="1" spans="1:13" x14ac:dyDescent="0.55000000000000004">
      <c r="A1" s="3" t="s">
        <v>0</v>
      </c>
      <c r="B1" s="3" t="s">
        <v>1</v>
      </c>
      <c r="C1" s="3" t="s">
        <v>2</v>
      </c>
      <c r="D1" s="4" t="s">
        <v>3</v>
      </c>
      <c r="E1" s="4" t="s">
        <v>17</v>
      </c>
    </row>
    <row r="2" spans="1:13" x14ac:dyDescent="0.55000000000000004">
      <c r="A2" s="3" t="s">
        <v>4</v>
      </c>
      <c r="B2" s="3" t="s">
        <v>5</v>
      </c>
      <c r="C2" s="3" t="s">
        <v>6</v>
      </c>
      <c r="D2" s="4" t="s">
        <v>7</v>
      </c>
      <c r="E2" s="4" t="s">
        <v>16</v>
      </c>
    </row>
    <row r="3" spans="1:13" x14ac:dyDescent="0.55000000000000004">
      <c r="A3" s="3">
        <v>21</v>
      </c>
      <c r="B3" s="3">
        <v>1.9505999999999999</v>
      </c>
      <c r="C3" s="3">
        <v>16.100000000000001</v>
      </c>
      <c r="D3" s="4">
        <v>0</v>
      </c>
      <c r="E3" s="4">
        <f t="shared" ref="E3:E48" si="0">C3/$L$4</f>
        <v>0.26833333333333337</v>
      </c>
      <c r="K3" t="s">
        <v>15</v>
      </c>
      <c r="L3">
        <v>111</v>
      </c>
      <c r="M3" t="s">
        <v>9</v>
      </c>
    </row>
    <row r="4" spans="1:13" x14ac:dyDescent="0.55000000000000004">
      <c r="A4" s="3">
        <v>21.1</v>
      </c>
      <c r="B4" s="3">
        <v>1.9590000000000001</v>
      </c>
      <c r="C4" s="3">
        <v>20.13</v>
      </c>
      <c r="D4" s="4">
        <f t="shared" ref="D4:D67" si="1">((B4/$L$3))-0.017572972972973</f>
        <v>7.5675675675648119E-5</v>
      </c>
      <c r="E4" s="4">
        <f t="shared" si="0"/>
        <v>0.33549999999999996</v>
      </c>
      <c r="K4" t="s">
        <v>14</v>
      </c>
      <c r="L4">
        <f>10*6</f>
        <v>60</v>
      </c>
      <c r="M4" t="s">
        <v>13</v>
      </c>
    </row>
    <row r="5" spans="1:13" x14ac:dyDescent="0.55000000000000004">
      <c r="A5" s="3">
        <v>21.2</v>
      </c>
      <c r="B5" s="3">
        <v>1.9673</v>
      </c>
      <c r="C5" s="3">
        <v>24.16</v>
      </c>
      <c r="D5" s="4">
        <f t="shared" si="1"/>
        <v>1.5045045045042338E-4</v>
      </c>
      <c r="E5" s="4">
        <f t="shared" si="0"/>
        <v>0.40266666666666667</v>
      </c>
    </row>
    <row r="6" spans="1:13" x14ac:dyDescent="0.55000000000000004">
      <c r="A6" s="3">
        <v>21.3</v>
      </c>
      <c r="B6" s="3">
        <v>1.9757</v>
      </c>
      <c r="C6" s="3">
        <v>28.99</v>
      </c>
      <c r="D6" s="4">
        <f t="shared" si="1"/>
        <v>2.2612612612609925E-4</v>
      </c>
      <c r="E6" s="4">
        <f t="shared" si="0"/>
        <v>0.48316666666666663</v>
      </c>
    </row>
    <row r="7" spans="1:13" x14ac:dyDescent="0.55000000000000004">
      <c r="A7" s="3">
        <v>21.4</v>
      </c>
      <c r="B7" s="3">
        <v>1.984</v>
      </c>
      <c r="C7" s="3">
        <v>33.01</v>
      </c>
      <c r="D7" s="4">
        <f t="shared" si="1"/>
        <v>3.0090090090087451E-4</v>
      </c>
      <c r="E7" s="4">
        <f t="shared" si="0"/>
        <v>0.55016666666666658</v>
      </c>
    </row>
    <row r="8" spans="1:13" x14ac:dyDescent="0.55000000000000004">
      <c r="A8" s="3">
        <v>21.5</v>
      </c>
      <c r="B8" s="3">
        <v>1.9923</v>
      </c>
      <c r="C8" s="3">
        <v>37.04</v>
      </c>
      <c r="D8" s="4">
        <f t="shared" si="1"/>
        <v>3.7567567567564977E-4</v>
      </c>
      <c r="E8" s="4">
        <f t="shared" si="0"/>
        <v>0.61733333333333329</v>
      </c>
    </row>
    <row r="9" spans="1:13" x14ac:dyDescent="0.55000000000000004">
      <c r="A9" s="3">
        <v>21.6</v>
      </c>
      <c r="B9" s="3">
        <v>2.0007000000000001</v>
      </c>
      <c r="C9" s="3">
        <v>41.87</v>
      </c>
      <c r="D9" s="4">
        <f t="shared" si="1"/>
        <v>4.5135135135132565E-4</v>
      </c>
      <c r="E9" s="4">
        <f t="shared" si="0"/>
        <v>0.69783333333333331</v>
      </c>
    </row>
    <row r="10" spans="1:13" x14ac:dyDescent="0.55000000000000004">
      <c r="A10" s="3">
        <v>21.7</v>
      </c>
      <c r="B10" s="3">
        <v>2.0089999999999999</v>
      </c>
      <c r="C10" s="3">
        <v>46.71</v>
      </c>
      <c r="D10" s="4">
        <f t="shared" si="1"/>
        <v>5.2612612612609744E-4</v>
      </c>
      <c r="E10" s="4">
        <f t="shared" si="0"/>
        <v>0.77849999999999997</v>
      </c>
    </row>
    <row r="11" spans="1:13" x14ac:dyDescent="0.55000000000000004">
      <c r="A11" s="3">
        <v>21.8</v>
      </c>
      <c r="B11" s="3">
        <v>2.0173000000000001</v>
      </c>
      <c r="C11" s="3">
        <v>51.54</v>
      </c>
      <c r="D11" s="4">
        <f t="shared" si="1"/>
        <v>6.0090090090087617E-4</v>
      </c>
      <c r="E11" s="4">
        <f t="shared" si="0"/>
        <v>0.85899999999999999</v>
      </c>
    </row>
    <row r="12" spans="1:13" x14ac:dyDescent="0.55000000000000004">
      <c r="A12" s="3">
        <v>21.9</v>
      </c>
      <c r="B12" s="3">
        <v>2.0255999999999998</v>
      </c>
      <c r="C12" s="3">
        <v>56.37</v>
      </c>
      <c r="D12" s="4">
        <f t="shared" si="1"/>
        <v>6.7567567567564796E-4</v>
      </c>
      <c r="E12" s="4">
        <f t="shared" si="0"/>
        <v>0.9395</v>
      </c>
    </row>
    <row r="13" spans="1:13" x14ac:dyDescent="0.55000000000000004">
      <c r="A13" s="3">
        <v>22</v>
      </c>
      <c r="B13" s="3">
        <v>2.0339999999999998</v>
      </c>
      <c r="C13" s="3">
        <v>61.2</v>
      </c>
      <c r="D13" s="4">
        <f t="shared" si="1"/>
        <v>7.5135135135132383E-4</v>
      </c>
      <c r="E13" s="4">
        <f t="shared" si="0"/>
        <v>1.02</v>
      </c>
    </row>
    <row r="14" spans="1:13" x14ac:dyDescent="0.55000000000000004">
      <c r="A14" s="3">
        <v>22.1</v>
      </c>
      <c r="B14" s="3">
        <v>2.0423</v>
      </c>
      <c r="C14" s="3">
        <v>66.03</v>
      </c>
      <c r="D14" s="4">
        <f t="shared" si="1"/>
        <v>8.2612612612609909E-4</v>
      </c>
      <c r="E14" s="4">
        <f t="shared" si="0"/>
        <v>1.1005</v>
      </c>
    </row>
    <row r="15" spans="1:13" x14ac:dyDescent="0.55000000000000004">
      <c r="A15" s="3">
        <v>22.2</v>
      </c>
      <c r="B15" s="3">
        <v>2.0507</v>
      </c>
      <c r="C15" s="3">
        <v>70.87</v>
      </c>
      <c r="D15" s="4">
        <f t="shared" si="1"/>
        <v>9.0180180180177497E-4</v>
      </c>
      <c r="E15" s="4">
        <f t="shared" si="0"/>
        <v>1.1811666666666667</v>
      </c>
    </row>
    <row r="16" spans="1:13" x14ac:dyDescent="0.55000000000000004">
      <c r="A16" s="3">
        <v>22.3</v>
      </c>
      <c r="B16" s="3">
        <v>2.0590000000000002</v>
      </c>
      <c r="C16" s="3">
        <v>76.5</v>
      </c>
      <c r="D16" s="4">
        <f t="shared" si="1"/>
        <v>9.7657657657655023E-4</v>
      </c>
      <c r="E16" s="4">
        <f t="shared" si="0"/>
        <v>1.2749999999999999</v>
      </c>
    </row>
    <row r="17" spans="1:13" x14ac:dyDescent="0.55000000000000004">
      <c r="A17" s="3">
        <v>22.4</v>
      </c>
      <c r="B17" s="3">
        <v>2.0672999999999999</v>
      </c>
      <c r="C17" s="3">
        <v>81.34</v>
      </c>
      <c r="D17" s="4">
        <f t="shared" si="1"/>
        <v>1.051351351351322E-3</v>
      </c>
      <c r="E17" s="4">
        <f t="shared" si="0"/>
        <v>1.3556666666666668</v>
      </c>
    </row>
    <row r="18" spans="1:13" x14ac:dyDescent="0.55000000000000004">
      <c r="A18" s="3">
        <v>22.5</v>
      </c>
      <c r="B18" s="3">
        <v>2.0756999999999999</v>
      </c>
      <c r="C18" s="3">
        <v>86.17</v>
      </c>
      <c r="D18" s="4">
        <f t="shared" si="1"/>
        <v>1.1270270270269979E-3</v>
      </c>
      <c r="E18" s="4">
        <f t="shared" si="0"/>
        <v>1.4361666666666666</v>
      </c>
    </row>
    <row r="19" spans="1:13" x14ac:dyDescent="0.55000000000000004">
      <c r="A19" s="3">
        <v>22.6</v>
      </c>
      <c r="B19" s="3">
        <v>2.0840000000000001</v>
      </c>
      <c r="C19" s="3">
        <v>91.81</v>
      </c>
      <c r="D19" s="4">
        <f t="shared" si="1"/>
        <v>1.2018018018017766E-3</v>
      </c>
      <c r="E19" s="4">
        <f t="shared" si="0"/>
        <v>1.5301666666666667</v>
      </c>
    </row>
    <row r="20" spans="1:13" x14ac:dyDescent="0.55000000000000004">
      <c r="A20" s="3">
        <v>22.7</v>
      </c>
      <c r="B20" s="3">
        <v>2.0922999999999998</v>
      </c>
      <c r="C20" s="3">
        <v>96.64</v>
      </c>
      <c r="D20" s="4">
        <f t="shared" si="1"/>
        <v>1.2765765765765484E-3</v>
      </c>
      <c r="E20" s="4">
        <f t="shared" si="0"/>
        <v>1.6106666666666667</v>
      </c>
    </row>
    <row r="21" spans="1:13" x14ac:dyDescent="0.55000000000000004">
      <c r="A21" s="3">
        <v>22.8</v>
      </c>
      <c r="B21" s="3">
        <v>2.1006</v>
      </c>
      <c r="C21" s="3">
        <v>101.47</v>
      </c>
      <c r="D21" s="4">
        <f t="shared" si="1"/>
        <v>1.3513513513513237E-3</v>
      </c>
      <c r="E21" s="4">
        <f t="shared" si="0"/>
        <v>1.6911666666666667</v>
      </c>
    </row>
    <row r="22" spans="1:13" x14ac:dyDescent="0.55000000000000004">
      <c r="A22" s="3">
        <v>22.9</v>
      </c>
      <c r="B22" s="3">
        <v>2.109</v>
      </c>
      <c r="C22" s="3">
        <v>107.11</v>
      </c>
      <c r="D22" s="4">
        <f t="shared" si="1"/>
        <v>1.4270270270269995E-3</v>
      </c>
      <c r="E22" s="4">
        <f t="shared" si="0"/>
        <v>1.7851666666666666</v>
      </c>
    </row>
    <row r="23" spans="1:13" x14ac:dyDescent="0.55000000000000004">
      <c r="A23" s="3">
        <v>23</v>
      </c>
      <c r="B23" s="3">
        <v>2.1173000000000002</v>
      </c>
      <c r="C23" s="3">
        <v>111.94</v>
      </c>
      <c r="D23" s="4">
        <f t="shared" si="1"/>
        <v>1.5018018018017748E-3</v>
      </c>
      <c r="E23" s="4">
        <f t="shared" si="0"/>
        <v>1.8656666666666666</v>
      </c>
    </row>
    <row r="24" spans="1:13" x14ac:dyDescent="0.55000000000000004">
      <c r="A24" s="3">
        <v>23.1</v>
      </c>
      <c r="B24" s="3">
        <v>2.1257000000000001</v>
      </c>
      <c r="C24" s="3">
        <v>116.77</v>
      </c>
      <c r="D24" s="4">
        <f t="shared" si="1"/>
        <v>1.5774774774774507E-3</v>
      </c>
      <c r="E24" s="4">
        <f t="shared" si="0"/>
        <v>1.9461666666666666</v>
      </c>
    </row>
    <row r="25" spans="1:13" x14ac:dyDescent="0.55000000000000004">
      <c r="A25" s="3">
        <v>23.2</v>
      </c>
      <c r="B25" s="3">
        <v>2.1339999999999999</v>
      </c>
      <c r="C25" s="3">
        <v>121.6</v>
      </c>
      <c r="D25" s="4">
        <f t="shared" si="1"/>
        <v>1.6522522522522259E-3</v>
      </c>
      <c r="E25" s="4">
        <f t="shared" si="0"/>
        <v>2.0266666666666664</v>
      </c>
    </row>
    <row r="26" spans="1:13" x14ac:dyDescent="0.55000000000000004">
      <c r="A26" s="3">
        <v>23.3</v>
      </c>
      <c r="B26" s="3">
        <v>2.1423000000000001</v>
      </c>
      <c r="C26" s="3">
        <v>127.24</v>
      </c>
      <c r="D26" s="4">
        <f t="shared" si="1"/>
        <v>1.7270270270270012E-3</v>
      </c>
      <c r="E26" s="4">
        <f t="shared" si="0"/>
        <v>2.1206666666666667</v>
      </c>
      <c r="J26" s="5" t="s">
        <v>12</v>
      </c>
      <c r="K26" s="5"/>
      <c r="L26" s="6">
        <f>MAX(E:E)</f>
        <v>9.5030003333333344</v>
      </c>
      <c r="M26" s="5" t="s">
        <v>11</v>
      </c>
    </row>
    <row r="27" spans="1:13" x14ac:dyDescent="0.55000000000000004">
      <c r="A27" s="3">
        <v>23.4</v>
      </c>
      <c r="B27" s="3">
        <v>2.1507000000000001</v>
      </c>
      <c r="C27" s="3">
        <v>132.07</v>
      </c>
      <c r="D27" s="4">
        <f t="shared" si="1"/>
        <v>1.8027027027026771E-3</v>
      </c>
      <c r="E27" s="4">
        <f t="shared" si="0"/>
        <v>2.2011666666666665</v>
      </c>
      <c r="J27" s="5" t="s">
        <v>10</v>
      </c>
      <c r="K27" s="5"/>
      <c r="L27" s="5">
        <v>1.0510810810810785E-2</v>
      </c>
      <c r="M27" s="5" t="s">
        <v>18</v>
      </c>
    </row>
    <row r="28" spans="1:13" x14ac:dyDescent="0.55000000000000004">
      <c r="A28" s="3">
        <v>23.5</v>
      </c>
      <c r="B28" s="3">
        <v>2.1589999999999998</v>
      </c>
      <c r="C28" s="3">
        <v>136.9</v>
      </c>
      <c r="D28" s="4">
        <f t="shared" si="1"/>
        <v>1.8774774774774489E-3</v>
      </c>
      <c r="E28" s="4">
        <f t="shared" si="0"/>
        <v>2.2816666666666667</v>
      </c>
    </row>
    <row r="29" spans="1:13" x14ac:dyDescent="0.55000000000000004">
      <c r="A29" s="3">
        <v>23.6</v>
      </c>
      <c r="B29" s="3">
        <v>2.1673</v>
      </c>
      <c r="C29" s="3">
        <v>141.73999000000001</v>
      </c>
      <c r="D29" s="4">
        <f t="shared" si="1"/>
        <v>1.9522522522522241E-3</v>
      </c>
      <c r="E29" s="4">
        <f t="shared" si="0"/>
        <v>2.3623331666666667</v>
      </c>
    </row>
    <row r="30" spans="1:13" x14ac:dyDescent="0.55000000000000004">
      <c r="A30" s="3">
        <v>23.7</v>
      </c>
      <c r="B30" s="3">
        <v>2.1756000000000002</v>
      </c>
      <c r="C30" s="3">
        <v>147.37001000000001</v>
      </c>
      <c r="D30" s="4">
        <f t="shared" si="1"/>
        <v>2.0270270270270029E-3</v>
      </c>
      <c r="E30" s="4">
        <f t="shared" si="0"/>
        <v>2.4561668333333335</v>
      </c>
    </row>
    <row r="31" spans="1:13" x14ac:dyDescent="0.55000000000000004">
      <c r="A31" s="3">
        <v>23.8</v>
      </c>
      <c r="B31" s="3">
        <v>2.1840000000000002</v>
      </c>
      <c r="C31" s="3">
        <v>152.21</v>
      </c>
      <c r="D31" s="4">
        <f t="shared" si="1"/>
        <v>2.1027027027026787E-3</v>
      </c>
      <c r="E31" s="4">
        <f t="shared" si="0"/>
        <v>2.5368333333333335</v>
      </c>
    </row>
    <row r="32" spans="1:13" x14ac:dyDescent="0.55000000000000004">
      <c r="A32" s="3">
        <v>23.9</v>
      </c>
      <c r="B32" s="3">
        <v>2.1922999999999999</v>
      </c>
      <c r="C32" s="3">
        <v>157.04</v>
      </c>
      <c r="D32" s="4">
        <f t="shared" si="1"/>
        <v>2.1774774774774505E-3</v>
      </c>
      <c r="E32" s="4">
        <f t="shared" si="0"/>
        <v>2.6173333333333333</v>
      </c>
    </row>
    <row r="33" spans="1:5" x14ac:dyDescent="0.55000000000000004">
      <c r="A33" s="3">
        <v>24</v>
      </c>
      <c r="B33" s="3">
        <v>2.2006999999999999</v>
      </c>
      <c r="C33" s="3">
        <v>161.87</v>
      </c>
      <c r="D33" s="4">
        <f t="shared" si="1"/>
        <v>2.2531531531531264E-3</v>
      </c>
      <c r="E33" s="4">
        <f t="shared" si="0"/>
        <v>2.6978333333333335</v>
      </c>
    </row>
    <row r="34" spans="1:5" x14ac:dyDescent="0.55000000000000004">
      <c r="A34" s="3">
        <v>24.1</v>
      </c>
      <c r="B34" s="3">
        <v>2.2090000000000001</v>
      </c>
      <c r="C34" s="3">
        <v>167.51</v>
      </c>
      <c r="D34" s="4">
        <f t="shared" si="1"/>
        <v>2.3279279279279017E-3</v>
      </c>
      <c r="E34" s="4">
        <f t="shared" si="0"/>
        <v>2.7918333333333334</v>
      </c>
    </row>
    <row r="35" spans="1:5" x14ac:dyDescent="0.55000000000000004">
      <c r="A35" s="3">
        <v>24.2</v>
      </c>
      <c r="B35" s="3">
        <v>2.2172999999999998</v>
      </c>
      <c r="C35" s="3">
        <v>172.34</v>
      </c>
      <c r="D35" s="4">
        <f t="shared" si="1"/>
        <v>2.4027027027026734E-3</v>
      </c>
      <c r="E35" s="4">
        <f t="shared" si="0"/>
        <v>2.8723333333333332</v>
      </c>
    </row>
    <row r="36" spans="1:5" x14ac:dyDescent="0.55000000000000004">
      <c r="A36" s="3">
        <v>24.3</v>
      </c>
      <c r="B36" s="3">
        <v>2.2256999999999998</v>
      </c>
      <c r="C36" s="3">
        <v>177.17000999999999</v>
      </c>
      <c r="D36" s="4">
        <f t="shared" si="1"/>
        <v>2.4783783783783493E-3</v>
      </c>
      <c r="E36" s="4">
        <f t="shared" si="0"/>
        <v>2.9528334999999997</v>
      </c>
    </row>
    <row r="37" spans="1:5" x14ac:dyDescent="0.55000000000000004">
      <c r="A37" s="3">
        <v>24.4</v>
      </c>
      <c r="B37" s="3">
        <v>2.234</v>
      </c>
      <c r="C37" s="3">
        <v>181.99999</v>
      </c>
      <c r="D37" s="4">
        <f t="shared" si="1"/>
        <v>2.5531531531531246E-3</v>
      </c>
      <c r="E37" s="4">
        <f t="shared" si="0"/>
        <v>3.0333331666666665</v>
      </c>
    </row>
    <row r="38" spans="1:5" x14ac:dyDescent="0.55000000000000004">
      <c r="A38" s="3">
        <v>24.5</v>
      </c>
      <c r="B38" s="3">
        <v>2.2423000000000002</v>
      </c>
      <c r="C38" s="3">
        <v>187.63999000000001</v>
      </c>
      <c r="D38" s="4">
        <f t="shared" si="1"/>
        <v>2.6279279279279033E-3</v>
      </c>
      <c r="E38" s="4">
        <f t="shared" si="0"/>
        <v>3.1273331666666668</v>
      </c>
    </row>
    <row r="39" spans="1:5" x14ac:dyDescent="0.55000000000000004">
      <c r="A39" s="3">
        <v>24.6</v>
      </c>
      <c r="B39" s="3">
        <v>2.2505999999999999</v>
      </c>
      <c r="C39" s="3">
        <v>192.47</v>
      </c>
      <c r="D39" s="4">
        <f t="shared" si="1"/>
        <v>2.7027027027026751E-3</v>
      </c>
      <c r="E39" s="4">
        <f t="shared" si="0"/>
        <v>3.2078333333333333</v>
      </c>
    </row>
    <row r="40" spans="1:5" x14ac:dyDescent="0.55000000000000004">
      <c r="A40" s="3">
        <v>24.7</v>
      </c>
      <c r="B40" s="3">
        <v>2.2589999999999999</v>
      </c>
      <c r="C40" s="3">
        <v>197.31</v>
      </c>
      <c r="D40" s="4">
        <f t="shared" si="1"/>
        <v>2.778378378378351E-3</v>
      </c>
      <c r="E40" s="4">
        <f t="shared" si="0"/>
        <v>3.2885</v>
      </c>
    </row>
    <row r="41" spans="1:5" x14ac:dyDescent="0.55000000000000004">
      <c r="A41" s="3">
        <v>24.8</v>
      </c>
      <c r="B41" s="3">
        <v>2.2673000000000001</v>
      </c>
      <c r="C41" s="3">
        <v>202.94</v>
      </c>
      <c r="D41" s="4">
        <f t="shared" si="1"/>
        <v>2.8531531531531262E-3</v>
      </c>
      <c r="E41" s="4">
        <f t="shared" si="0"/>
        <v>3.3823333333333334</v>
      </c>
    </row>
    <row r="42" spans="1:5" x14ac:dyDescent="0.55000000000000004">
      <c r="A42" s="3">
        <v>24.9</v>
      </c>
      <c r="B42" s="3">
        <v>2.2757000000000001</v>
      </c>
      <c r="C42" s="3">
        <v>207.78</v>
      </c>
      <c r="D42" s="4">
        <f t="shared" si="1"/>
        <v>2.9288288288288021E-3</v>
      </c>
      <c r="E42" s="4">
        <f t="shared" si="0"/>
        <v>3.4630000000000001</v>
      </c>
    </row>
    <row r="43" spans="1:5" x14ac:dyDescent="0.55000000000000004">
      <c r="A43" s="3">
        <v>25</v>
      </c>
      <c r="B43" s="3">
        <v>2.2839999999999998</v>
      </c>
      <c r="C43" s="3">
        <v>212.61000999999999</v>
      </c>
      <c r="D43" s="4">
        <f t="shared" si="1"/>
        <v>3.0036036036035739E-3</v>
      </c>
      <c r="E43" s="4">
        <f t="shared" si="0"/>
        <v>3.5435001666666666</v>
      </c>
    </row>
    <row r="44" spans="1:5" x14ac:dyDescent="0.55000000000000004">
      <c r="A44" s="3">
        <v>25.1</v>
      </c>
      <c r="B44" s="3">
        <v>2.2923</v>
      </c>
      <c r="C44" s="3">
        <v>217.43998999999999</v>
      </c>
      <c r="D44" s="4">
        <f t="shared" si="1"/>
        <v>3.0783783783783526E-3</v>
      </c>
      <c r="E44" s="4">
        <f t="shared" si="0"/>
        <v>3.6239998333333334</v>
      </c>
    </row>
    <row r="45" spans="1:5" x14ac:dyDescent="0.55000000000000004">
      <c r="A45" s="3">
        <v>25.2</v>
      </c>
      <c r="B45" s="3">
        <v>2.3007</v>
      </c>
      <c r="C45" s="3">
        <v>222.27</v>
      </c>
      <c r="D45" s="4">
        <f t="shared" si="1"/>
        <v>3.154054054054025E-3</v>
      </c>
      <c r="E45" s="4">
        <f t="shared" si="0"/>
        <v>3.7045000000000003</v>
      </c>
    </row>
    <row r="46" spans="1:5" x14ac:dyDescent="0.55000000000000004">
      <c r="A46" s="3">
        <v>25.3</v>
      </c>
      <c r="B46" s="3">
        <v>2.3090000000000002</v>
      </c>
      <c r="C46" s="3">
        <v>227.1</v>
      </c>
      <c r="D46" s="4">
        <f t="shared" si="1"/>
        <v>3.2288288288288038E-3</v>
      </c>
      <c r="E46" s="4">
        <f t="shared" si="0"/>
        <v>3.7849999999999997</v>
      </c>
    </row>
    <row r="47" spans="1:5" x14ac:dyDescent="0.55000000000000004">
      <c r="A47" s="3">
        <v>25.4</v>
      </c>
      <c r="B47" s="3">
        <v>2.3172999999999999</v>
      </c>
      <c r="C47" s="3">
        <v>232.74</v>
      </c>
      <c r="D47" s="4">
        <f t="shared" si="1"/>
        <v>3.3036036036035756E-3</v>
      </c>
      <c r="E47" s="4">
        <f t="shared" si="0"/>
        <v>3.879</v>
      </c>
    </row>
    <row r="48" spans="1:5" x14ac:dyDescent="0.55000000000000004">
      <c r="A48" s="3">
        <v>25.5</v>
      </c>
      <c r="B48" s="3">
        <v>2.3256000000000001</v>
      </c>
      <c r="C48" s="3">
        <v>237.57001</v>
      </c>
      <c r="D48" s="4">
        <f t="shared" si="1"/>
        <v>3.3783783783783508E-3</v>
      </c>
      <c r="E48" s="4">
        <f t="shared" si="0"/>
        <v>3.9595001666666665</v>
      </c>
    </row>
    <row r="49" spans="1:5" x14ac:dyDescent="0.55000000000000004">
      <c r="A49" s="3">
        <v>25.6</v>
      </c>
      <c r="B49" s="3">
        <v>2.3340000000000001</v>
      </c>
      <c r="C49" s="3">
        <v>242.41</v>
      </c>
      <c r="D49" s="4">
        <f t="shared" si="1"/>
        <v>3.4540540540540267E-3</v>
      </c>
      <c r="E49" s="4">
        <f t="shared" ref="E49:E112" si="2">C49/$L$4</f>
        <v>4.0401666666666669</v>
      </c>
    </row>
    <row r="50" spans="1:5" x14ac:dyDescent="0.55000000000000004">
      <c r="A50" s="3">
        <v>25.7</v>
      </c>
      <c r="B50" s="3">
        <v>2.3422999999999998</v>
      </c>
      <c r="C50" s="3">
        <v>247.23999000000001</v>
      </c>
      <c r="D50" s="4">
        <f t="shared" si="1"/>
        <v>3.5288288288288019E-3</v>
      </c>
      <c r="E50" s="4">
        <f t="shared" si="2"/>
        <v>4.1206665000000005</v>
      </c>
    </row>
    <row r="51" spans="1:5" x14ac:dyDescent="0.55000000000000004">
      <c r="A51" s="3">
        <v>25.8</v>
      </c>
      <c r="B51" s="3">
        <v>2.3506999999999998</v>
      </c>
      <c r="C51" s="3">
        <v>252.07001</v>
      </c>
      <c r="D51" s="4">
        <f t="shared" si="1"/>
        <v>3.6045045045044743E-3</v>
      </c>
      <c r="E51" s="4">
        <f t="shared" si="2"/>
        <v>4.2011668333333336</v>
      </c>
    </row>
    <row r="52" spans="1:5" x14ac:dyDescent="0.55000000000000004">
      <c r="A52" s="3">
        <v>25.9</v>
      </c>
      <c r="B52" s="3">
        <v>2.359</v>
      </c>
      <c r="C52" s="3">
        <v>256.89999999999998</v>
      </c>
      <c r="D52" s="4">
        <f t="shared" si="1"/>
        <v>3.6792792792792531E-3</v>
      </c>
      <c r="E52" s="4">
        <f t="shared" si="2"/>
        <v>4.2816666666666663</v>
      </c>
    </row>
    <row r="53" spans="1:5" x14ac:dyDescent="0.55000000000000004">
      <c r="A53" s="3">
        <v>26</v>
      </c>
      <c r="B53" s="3">
        <v>2.3673000000000002</v>
      </c>
      <c r="C53" s="3">
        <v>261.73000999999999</v>
      </c>
      <c r="D53" s="4">
        <f t="shared" si="1"/>
        <v>3.7540540540540283E-3</v>
      </c>
      <c r="E53" s="4">
        <f t="shared" si="2"/>
        <v>4.3621668333333332</v>
      </c>
    </row>
    <row r="54" spans="1:5" x14ac:dyDescent="0.55000000000000004">
      <c r="A54" s="3">
        <v>26.1</v>
      </c>
      <c r="B54" s="3">
        <v>2.3757000000000001</v>
      </c>
      <c r="C54" s="3">
        <v>266.57</v>
      </c>
      <c r="D54" s="4">
        <f t="shared" si="1"/>
        <v>3.8297297297297042E-3</v>
      </c>
      <c r="E54" s="4">
        <f t="shared" si="2"/>
        <v>4.4428333333333336</v>
      </c>
    </row>
    <row r="55" spans="1:5" x14ac:dyDescent="0.55000000000000004">
      <c r="A55" s="3">
        <v>26.2</v>
      </c>
      <c r="B55" s="3">
        <v>2.3839999999999999</v>
      </c>
      <c r="C55" s="3">
        <v>271.39999</v>
      </c>
      <c r="D55" s="4">
        <f t="shared" si="1"/>
        <v>3.904504504504476E-3</v>
      </c>
      <c r="E55" s="4">
        <f t="shared" si="2"/>
        <v>4.5233331666666663</v>
      </c>
    </row>
    <row r="56" spans="1:5" x14ac:dyDescent="0.55000000000000004">
      <c r="A56" s="3">
        <v>26.3</v>
      </c>
      <c r="B56" s="3">
        <v>2.3923000000000001</v>
      </c>
      <c r="C56" s="3">
        <v>276.23000999999999</v>
      </c>
      <c r="D56" s="4">
        <f t="shared" si="1"/>
        <v>3.9792792792792547E-3</v>
      </c>
      <c r="E56" s="4">
        <f t="shared" si="2"/>
        <v>4.6038334999999995</v>
      </c>
    </row>
    <row r="57" spans="1:5" x14ac:dyDescent="0.55000000000000004">
      <c r="A57" s="3">
        <v>26.4</v>
      </c>
      <c r="B57" s="3">
        <v>2.4005999999999998</v>
      </c>
      <c r="C57" s="3">
        <v>281.05999000000003</v>
      </c>
      <c r="D57" s="4">
        <f t="shared" si="1"/>
        <v>4.0540540540540265E-3</v>
      </c>
      <c r="E57" s="4">
        <f t="shared" si="2"/>
        <v>4.6843331666666668</v>
      </c>
    </row>
    <row r="58" spans="1:5" x14ac:dyDescent="0.55000000000000004">
      <c r="A58" s="3">
        <v>26.5</v>
      </c>
      <c r="B58" s="3">
        <v>2.4089999999999998</v>
      </c>
      <c r="C58" s="3">
        <v>285.89001000000002</v>
      </c>
      <c r="D58" s="4">
        <f t="shared" si="1"/>
        <v>4.1297297297297024E-3</v>
      </c>
      <c r="E58" s="4">
        <f t="shared" si="2"/>
        <v>4.7648334999999999</v>
      </c>
    </row>
    <row r="59" spans="1:5" x14ac:dyDescent="0.55000000000000004">
      <c r="A59" s="3">
        <v>26.6</v>
      </c>
      <c r="B59" s="3">
        <v>2.4173</v>
      </c>
      <c r="C59" s="3">
        <v>290.73</v>
      </c>
      <c r="D59" s="4">
        <f t="shared" si="1"/>
        <v>4.2045045045044777E-3</v>
      </c>
      <c r="E59" s="4">
        <f t="shared" si="2"/>
        <v>4.8455000000000004</v>
      </c>
    </row>
    <row r="60" spans="1:5" x14ac:dyDescent="0.55000000000000004">
      <c r="A60" s="3">
        <v>26.7</v>
      </c>
      <c r="B60" s="3">
        <v>2.4257</v>
      </c>
      <c r="C60" s="3">
        <v>295.55999000000003</v>
      </c>
      <c r="D60" s="4">
        <f t="shared" si="1"/>
        <v>4.2801801801801535E-3</v>
      </c>
      <c r="E60" s="4">
        <f t="shared" si="2"/>
        <v>4.9259998333333339</v>
      </c>
    </row>
    <row r="61" spans="1:5" x14ac:dyDescent="0.55000000000000004">
      <c r="A61" s="3">
        <v>26.8</v>
      </c>
      <c r="B61" s="3">
        <v>2.4340000000000002</v>
      </c>
      <c r="C61" s="3">
        <v>301.2</v>
      </c>
      <c r="D61" s="4">
        <f t="shared" si="1"/>
        <v>4.3549549549549288E-3</v>
      </c>
      <c r="E61" s="4">
        <f t="shared" si="2"/>
        <v>5.0199999999999996</v>
      </c>
    </row>
    <row r="62" spans="1:5" x14ac:dyDescent="0.55000000000000004">
      <c r="A62" s="3">
        <v>26.9</v>
      </c>
      <c r="B62" s="3">
        <v>2.4422999999999999</v>
      </c>
      <c r="C62" s="3">
        <v>305.21999</v>
      </c>
      <c r="D62" s="4">
        <f t="shared" si="1"/>
        <v>4.4297297297297006E-3</v>
      </c>
      <c r="E62" s="4">
        <f t="shared" si="2"/>
        <v>5.0869998333333335</v>
      </c>
    </row>
    <row r="63" spans="1:5" x14ac:dyDescent="0.55000000000000004">
      <c r="A63" s="3">
        <v>27</v>
      </c>
      <c r="B63" s="3">
        <v>2.4506999999999999</v>
      </c>
      <c r="C63" s="3">
        <v>310.86000999999999</v>
      </c>
      <c r="D63" s="4">
        <f t="shared" si="1"/>
        <v>4.5054054054053765E-3</v>
      </c>
      <c r="E63" s="4">
        <f t="shared" si="2"/>
        <v>5.1810001666666663</v>
      </c>
    </row>
    <row r="64" spans="1:5" x14ac:dyDescent="0.55000000000000004">
      <c r="A64" s="3">
        <v>27.1</v>
      </c>
      <c r="B64" s="3">
        <v>2.4590000000000001</v>
      </c>
      <c r="C64" s="3">
        <v>314.89</v>
      </c>
      <c r="D64" s="4">
        <f t="shared" si="1"/>
        <v>4.5801801801801552E-3</v>
      </c>
      <c r="E64" s="4">
        <f t="shared" si="2"/>
        <v>5.2481666666666662</v>
      </c>
    </row>
    <row r="65" spans="1:5" x14ac:dyDescent="0.55000000000000004">
      <c r="A65" s="3">
        <v>27.2</v>
      </c>
      <c r="B65" s="3">
        <v>2.4672999999999998</v>
      </c>
      <c r="C65" s="3">
        <v>319.72001</v>
      </c>
      <c r="D65" s="4">
        <f t="shared" si="1"/>
        <v>4.654954954954927E-3</v>
      </c>
      <c r="E65" s="4">
        <f t="shared" si="2"/>
        <v>5.3286668333333331</v>
      </c>
    </row>
    <row r="66" spans="1:5" x14ac:dyDescent="0.55000000000000004">
      <c r="A66" s="3">
        <v>27.3</v>
      </c>
      <c r="B66" s="3">
        <v>2.4756</v>
      </c>
      <c r="C66" s="3">
        <v>324.55</v>
      </c>
      <c r="D66" s="4">
        <f t="shared" si="1"/>
        <v>4.7297297297297022E-3</v>
      </c>
      <c r="E66" s="4">
        <f t="shared" si="2"/>
        <v>5.4091666666666667</v>
      </c>
    </row>
    <row r="67" spans="1:5" x14ac:dyDescent="0.55000000000000004">
      <c r="A67" s="3">
        <v>27.4</v>
      </c>
      <c r="B67" s="3">
        <v>2.484</v>
      </c>
      <c r="C67" s="3">
        <v>329.37999000000002</v>
      </c>
      <c r="D67" s="4">
        <f t="shared" si="1"/>
        <v>4.8054054054053781E-3</v>
      </c>
      <c r="E67" s="4">
        <f t="shared" si="2"/>
        <v>5.4896665000000002</v>
      </c>
    </row>
    <row r="68" spans="1:5" x14ac:dyDescent="0.55000000000000004">
      <c r="A68" s="3">
        <v>27.5</v>
      </c>
      <c r="B68" s="3">
        <v>2.4923000000000002</v>
      </c>
      <c r="C68" s="3">
        <v>334.22001</v>
      </c>
      <c r="D68" s="4">
        <f t="shared" ref="D68:D131" si="3">((B68/$L$3))-0.017572972972973</f>
        <v>4.8801801801801534E-3</v>
      </c>
      <c r="E68" s="4">
        <f t="shared" si="2"/>
        <v>5.5703335000000003</v>
      </c>
    </row>
    <row r="69" spans="1:5" x14ac:dyDescent="0.55000000000000004">
      <c r="A69" s="3">
        <v>27.6</v>
      </c>
      <c r="B69" s="3">
        <v>2.5007000000000001</v>
      </c>
      <c r="C69" s="3">
        <v>339.04998999999998</v>
      </c>
      <c r="D69" s="4">
        <f t="shared" si="3"/>
        <v>4.9558558558558292E-3</v>
      </c>
      <c r="E69" s="4">
        <f t="shared" si="2"/>
        <v>5.6508331666666667</v>
      </c>
    </row>
    <row r="70" spans="1:5" x14ac:dyDescent="0.55000000000000004">
      <c r="A70" s="3">
        <v>27.7</v>
      </c>
      <c r="B70" s="3">
        <v>2.5089999999999999</v>
      </c>
      <c r="C70" s="3">
        <v>343.88001000000003</v>
      </c>
      <c r="D70" s="4">
        <f t="shared" si="3"/>
        <v>5.030630630630601E-3</v>
      </c>
      <c r="E70" s="4">
        <f t="shared" si="2"/>
        <v>5.7313335000000007</v>
      </c>
    </row>
    <row r="71" spans="1:5" x14ac:dyDescent="0.55000000000000004">
      <c r="A71" s="3">
        <v>27.8</v>
      </c>
      <c r="B71" s="3">
        <v>2.5173000000000001</v>
      </c>
      <c r="C71" s="3">
        <v>348.71</v>
      </c>
      <c r="D71" s="4">
        <f t="shared" si="3"/>
        <v>5.1054054054053798E-3</v>
      </c>
      <c r="E71" s="4">
        <f t="shared" si="2"/>
        <v>5.8118333333333334</v>
      </c>
    </row>
    <row r="72" spans="1:5" x14ac:dyDescent="0.55000000000000004">
      <c r="A72" s="3">
        <v>27.9</v>
      </c>
      <c r="B72" s="3">
        <v>2.5257000000000001</v>
      </c>
      <c r="C72" s="3">
        <v>352.73998999999998</v>
      </c>
      <c r="D72" s="4">
        <f t="shared" si="3"/>
        <v>5.1810810810810556E-3</v>
      </c>
      <c r="E72" s="4">
        <f t="shared" si="2"/>
        <v>5.8789998333333333</v>
      </c>
    </row>
    <row r="73" spans="1:5" x14ac:dyDescent="0.55000000000000004">
      <c r="A73" s="3">
        <v>28</v>
      </c>
      <c r="B73" s="3">
        <v>2.5339999999999998</v>
      </c>
      <c r="C73" s="3">
        <v>357.57001000000002</v>
      </c>
      <c r="D73" s="4">
        <f t="shared" si="3"/>
        <v>5.2558558558558274E-3</v>
      </c>
      <c r="E73" s="4">
        <f t="shared" si="2"/>
        <v>5.9595001666666674</v>
      </c>
    </row>
    <row r="74" spans="1:5" x14ac:dyDescent="0.55000000000000004">
      <c r="A74" s="3">
        <v>28.1</v>
      </c>
      <c r="B74" s="3">
        <v>2.5423</v>
      </c>
      <c r="C74" s="3">
        <v>362.39999</v>
      </c>
      <c r="D74" s="4">
        <f t="shared" si="3"/>
        <v>5.3306306306306027E-3</v>
      </c>
      <c r="E74" s="4">
        <f t="shared" si="2"/>
        <v>6.0399998333333338</v>
      </c>
    </row>
    <row r="75" spans="1:5" x14ac:dyDescent="0.55000000000000004">
      <c r="A75" s="3">
        <v>28.2</v>
      </c>
      <c r="B75" s="3">
        <v>2.5506000000000002</v>
      </c>
      <c r="C75" s="3">
        <v>366.43000999999998</v>
      </c>
      <c r="D75" s="4">
        <f t="shared" si="3"/>
        <v>5.4054054054053814E-3</v>
      </c>
      <c r="E75" s="4">
        <f t="shared" si="2"/>
        <v>6.1071668333333333</v>
      </c>
    </row>
    <row r="76" spans="1:5" x14ac:dyDescent="0.55000000000000004">
      <c r="A76" s="3">
        <v>28.3</v>
      </c>
      <c r="B76" s="3">
        <v>2.5590000000000002</v>
      </c>
      <c r="C76" s="3">
        <v>371.26</v>
      </c>
      <c r="D76" s="4">
        <f t="shared" si="3"/>
        <v>5.4810810810810538E-3</v>
      </c>
      <c r="E76" s="4">
        <f t="shared" si="2"/>
        <v>6.1876666666666669</v>
      </c>
    </row>
    <row r="77" spans="1:5" x14ac:dyDescent="0.55000000000000004">
      <c r="A77" s="3">
        <v>28.4</v>
      </c>
      <c r="B77" s="3">
        <v>2.5672999999999999</v>
      </c>
      <c r="C77" s="3">
        <v>375.28998999999999</v>
      </c>
      <c r="D77" s="4">
        <f t="shared" si="3"/>
        <v>5.5558558558558291E-3</v>
      </c>
      <c r="E77" s="4">
        <f t="shared" si="2"/>
        <v>6.2548331666666668</v>
      </c>
    </row>
    <row r="78" spans="1:5" x14ac:dyDescent="0.55000000000000004">
      <c r="A78" s="3">
        <v>28.5</v>
      </c>
      <c r="B78" s="3">
        <v>2.5756000000000001</v>
      </c>
      <c r="C78" s="3">
        <v>380.12000999999998</v>
      </c>
      <c r="D78" s="4">
        <f t="shared" si="3"/>
        <v>5.6306306306306043E-3</v>
      </c>
      <c r="E78" s="4">
        <f t="shared" si="2"/>
        <v>6.3353335</v>
      </c>
    </row>
    <row r="79" spans="1:5" x14ac:dyDescent="0.55000000000000004">
      <c r="A79" s="3">
        <v>28.6</v>
      </c>
      <c r="B79" s="3">
        <v>2.5840000000000001</v>
      </c>
      <c r="C79" s="3">
        <v>384.15</v>
      </c>
      <c r="D79" s="4">
        <f t="shared" si="3"/>
        <v>5.7063063063062802E-3</v>
      </c>
      <c r="E79" s="4">
        <f t="shared" si="2"/>
        <v>6.4024999999999999</v>
      </c>
    </row>
    <row r="80" spans="1:5" x14ac:dyDescent="0.55000000000000004">
      <c r="A80" s="3">
        <v>28.7</v>
      </c>
      <c r="B80" s="3">
        <v>2.5922999999999998</v>
      </c>
      <c r="C80" s="3">
        <v>388.97998999999999</v>
      </c>
      <c r="D80" s="4">
        <f t="shared" si="3"/>
        <v>5.781081081081052E-3</v>
      </c>
      <c r="E80" s="4">
        <f t="shared" si="2"/>
        <v>6.4829998333333334</v>
      </c>
    </row>
    <row r="81" spans="1:5" x14ac:dyDescent="0.55000000000000004">
      <c r="A81" s="3">
        <v>28.8</v>
      </c>
      <c r="B81" s="3">
        <v>2.6006999999999998</v>
      </c>
      <c r="C81" s="3">
        <v>393.81</v>
      </c>
      <c r="D81" s="4">
        <f t="shared" si="3"/>
        <v>5.8567567567567279E-3</v>
      </c>
      <c r="E81" s="4">
        <f t="shared" si="2"/>
        <v>6.5635000000000003</v>
      </c>
    </row>
    <row r="82" spans="1:5" x14ac:dyDescent="0.55000000000000004">
      <c r="A82" s="3">
        <v>28.9</v>
      </c>
      <c r="B82" s="3">
        <v>2.609</v>
      </c>
      <c r="C82" s="3">
        <v>397.83999</v>
      </c>
      <c r="D82" s="4">
        <f t="shared" si="3"/>
        <v>5.9315315315315031E-3</v>
      </c>
      <c r="E82" s="4">
        <f t="shared" si="2"/>
        <v>6.6306665000000002</v>
      </c>
    </row>
    <row r="83" spans="1:5" x14ac:dyDescent="0.55000000000000004">
      <c r="A83" s="3">
        <v>29</v>
      </c>
      <c r="B83" s="3">
        <v>2.6173000000000002</v>
      </c>
      <c r="C83" s="3">
        <v>401.87000999999998</v>
      </c>
      <c r="D83" s="4">
        <f t="shared" si="3"/>
        <v>6.0063063063062819E-3</v>
      </c>
      <c r="E83" s="4">
        <f t="shared" si="2"/>
        <v>6.6978334999999998</v>
      </c>
    </row>
    <row r="84" spans="1:5" x14ac:dyDescent="0.55000000000000004">
      <c r="A84" s="3">
        <v>29.1</v>
      </c>
      <c r="B84" s="3">
        <v>2.6255999999999999</v>
      </c>
      <c r="C84" s="3">
        <v>405.89</v>
      </c>
      <c r="D84" s="4">
        <f t="shared" si="3"/>
        <v>6.0810810810810537E-3</v>
      </c>
      <c r="E84" s="4">
        <f t="shared" si="2"/>
        <v>6.7648333333333328</v>
      </c>
    </row>
    <row r="85" spans="1:5" x14ac:dyDescent="0.55000000000000004">
      <c r="A85" s="3">
        <v>29.2</v>
      </c>
      <c r="B85" s="3">
        <v>2.6339999999999999</v>
      </c>
      <c r="C85" s="3">
        <v>409.91998999999998</v>
      </c>
      <c r="D85" s="4">
        <f t="shared" si="3"/>
        <v>6.1567567567567295E-3</v>
      </c>
      <c r="E85" s="4">
        <f t="shared" si="2"/>
        <v>6.8319998333333327</v>
      </c>
    </row>
    <row r="86" spans="1:5" x14ac:dyDescent="0.55000000000000004">
      <c r="A86" s="3">
        <v>29.3</v>
      </c>
      <c r="B86" s="3">
        <v>2.6423000000000001</v>
      </c>
      <c r="C86" s="3">
        <v>414.75000999999997</v>
      </c>
      <c r="D86" s="4">
        <f t="shared" si="3"/>
        <v>6.2315315315315048E-3</v>
      </c>
      <c r="E86" s="4">
        <f t="shared" si="2"/>
        <v>6.9125001666666659</v>
      </c>
    </row>
    <row r="87" spans="1:5" x14ac:dyDescent="0.55000000000000004">
      <c r="A87" s="3">
        <v>29.4</v>
      </c>
      <c r="B87" s="3">
        <v>2.6505999999999998</v>
      </c>
      <c r="C87" s="3">
        <v>418.78</v>
      </c>
      <c r="D87" s="4">
        <f t="shared" si="3"/>
        <v>6.3063063063062766E-3</v>
      </c>
      <c r="E87" s="4">
        <f t="shared" si="2"/>
        <v>6.9796666666666658</v>
      </c>
    </row>
    <row r="88" spans="1:5" x14ac:dyDescent="0.55000000000000004">
      <c r="A88" s="3">
        <v>29.5</v>
      </c>
      <c r="B88" s="3">
        <v>2.6589999999999998</v>
      </c>
      <c r="C88" s="3">
        <v>422.79998999999998</v>
      </c>
      <c r="D88" s="4">
        <f t="shared" si="3"/>
        <v>6.3819819819819525E-3</v>
      </c>
      <c r="E88" s="4">
        <f t="shared" si="2"/>
        <v>7.0466664999999997</v>
      </c>
    </row>
    <row r="89" spans="1:5" x14ac:dyDescent="0.55000000000000004">
      <c r="A89" s="3">
        <v>29.6</v>
      </c>
      <c r="B89" s="3">
        <v>2.6673</v>
      </c>
      <c r="C89" s="3">
        <v>426.83001000000002</v>
      </c>
      <c r="D89" s="4">
        <f t="shared" si="3"/>
        <v>6.4567567567567312E-3</v>
      </c>
      <c r="E89" s="4">
        <f t="shared" si="2"/>
        <v>7.1138335000000001</v>
      </c>
    </row>
    <row r="90" spans="1:5" x14ac:dyDescent="0.55000000000000004">
      <c r="A90" s="3">
        <v>29.7</v>
      </c>
      <c r="B90" s="3">
        <v>2.6757</v>
      </c>
      <c r="C90" s="3">
        <v>430.86</v>
      </c>
      <c r="D90" s="4">
        <f t="shared" si="3"/>
        <v>6.5324324324324036E-3</v>
      </c>
      <c r="E90" s="4">
        <f t="shared" si="2"/>
        <v>7.181</v>
      </c>
    </row>
    <row r="91" spans="1:5" x14ac:dyDescent="0.55000000000000004">
      <c r="A91" s="3">
        <v>29.8</v>
      </c>
      <c r="B91" s="3">
        <v>2.6840000000000002</v>
      </c>
      <c r="C91" s="3">
        <v>434.88999000000001</v>
      </c>
      <c r="D91" s="4">
        <f t="shared" si="3"/>
        <v>6.6072072072071823E-3</v>
      </c>
      <c r="E91" s="4">
        <f t="shared" si="2"/>
        <v>7.2481665</v>
      </c>
    </row>
    <row r="92" spans="1:5" x14ac:dyDescent="0.55000000000000004">
      <c r="A92" s="3">
        <v>29.9</v>
      </c>
      <c r="B92" s="3">
        <v>2.6922999999999999</v>
      </c>
      <c r="C92" s="3">
        <v>438.91001</v>
      </c>
      <c r="D92" s="4">
        <f t="shared" si="3"/>
        <v>6.6819819819819541E-3</v>
      </c>
      <c r="E92" s="4">
        <f t="shared" si="2"/>
        <v>7.3151668333333335</v>
      </c>
    </row>
    <row r="93" spans="1:5" x14ac:dyDescent="0.55000000000000004">
      <c r="A93" s="3">
        <v>30</v>
      </c>
      <c r="B93" s="3">
        <v>2.7006000000000001</v>
      </c>
      <c r="C93" s="3">
        <v>442.94</v>
      </c>
      <c r="D93" s="4">
        <f t="shared" si="3"/>
        <v>6.7567567567567294E-3</v>
      </c>
      <c r="E93" s="4">
        <f t="shared" si="2"/>
        <v>7.3823333333333334</v>
      </c>
    </row>
    <row r="94" spans="1:5" x14ac:dyDescent="0.55000000000000004">
      <c r="A94" s="3">
        <v>30.1</v>
      </c>
      <c r="B94" s="3">
        <v>2.7090000000000001</v>
      </c>
      <c r="C94" s="3">
        <v>446.96999</v>
      </c>
      <c r="D94" s="4">
        <f t="shared" si="3"/>
        <v>6.8324324324324053E-3</v>
      </c>
      <c r="E94" s="4">
        <f t="shared" si="2"/>
        <v>7.4494998333333333</v>
      </c>
    </row>
    <row r="95" spans="1:5" x14ac:dyDescent="0.55000000000000004">
      <c r="A95" s="3">
        <v>30.2</v>
      </c>
      <c r="B95" s="3">
        <v>2.7172999999999998</v>
      </c>
      <c r="C95" s="3">
        <v>450.19000999999997</v>
      </c>
      <c r="D95" s="4">
        <f t="shared" si="3"/>
        <v>6.907207207207177E-3</v>
      </c>
      <c r="E95" s="4">
        <f t="shared" si="2"/>
        <v>7.5031668333333332</v>
      </c>
    </row>
    <row r="96" spans="1:5" x14ac:dyDescent="0.55000000000000004">
      <c r="A96" s="3">
        <v>30.3</v>
      </c>
      <c r="B96" s="3">
        <v>2.7256</v>
      </c>
      <c r="C96" s="3">
        <v>455.02</v>
      </c>
      <c r="D96" s="4">
        <f t="shared" si="3"/>
        <v>6.9819819819819558E-3</v>
      </c>
      <c r="E96" s="4">
        <f t="shared" si="2"/>
        <v>7.5836666666666668</v>
      </c>
    </row>
    <row r="97" spans="1:5" x14ac:dyDescent="0.55000000000000004">
      <c r="A97" s="3">
        <v>30.4</v>
      </c>
      <c r="B97" s="3">
        <v>2.7339000000000002</v>
      </c>
      <c r="C97" s="3">
        <v>458.23998999999998</v>
      </c>
      <c r="D97" s="4">
        <f t="shared" si="3"/>
        <v>7.056756756756731E-3</v>
      </c>
      <c r="E97" s="4">
        <f t="shared" si="2"/>
        <v>7.6373331666666662</v>
      </c>
    </row>
    <row r="98" spans="1:5" x14ac:dyDescent="0.55000000000000004">
      <c r="A98" s="3">
        <v>30.5</v>
      </c>
      <c r="B98" s="3">
        <v>2.7423000000000002</v>
      </c>
      <c r="C98" s="3">
        <v>461.46001000000001</v>
      </c>
      <c r="D98" s="4">
        <f t="shared" si="3"/>
        <v>7.1324324324324069E-3</v>
      </c>
      <c r="E98" s="4">
        <f t="shared" si="2"/>
        <v>7.691000166666667</v>
      </c>
    </row>
    <row r="99" spans="1:5" x14ac:dyDescent="0.55000000000000004">
      <c r="A99" s="3">
        <v>30.6</v>
      </c>
      <c r="B99" s="3">
        <v>2.7507000000000001</v>
      </c>
      <c r="C99" s="3">
        <v>465.49</v>
      </c>
      <c r="D99" s="4">
        <f t="shared" si="3"/>
        <v>7.2081081081080828E-3</v>
      </c>
      <c r="E99" s="4">
        <f t="shared" si="2"/>
        <v>7.7581666666666669</v>
      </c>
    </row>
    <row r="100" spans="1:5" x14ac:dyDescent="0.55000000000000004">
      <c r="A100" s="3">
        <v>30.7</v>
      </c>
      <c r="B100" s="3">
        <v>2.7589999999999999</v>
      </c>
      <c r="C100" s="3">
        <v>468.70999</v>
      </c>
      <c r="D100" s="4">
        <f t="shared" si="3"/>
        <v>7.2828828828828546E-3</v>
      </c>
      <c r="E100" s="4">
        <f t="shared" si="2"/>
        <v>7.8118331666666672</v>
      </c>
    </row>
    <row r="101" spans="1:5" x14ac:dyDescent="0.55000000000000004">
      <c r="A101" s="3">
        <v>30.8</v>
      </c>
      <c r="B101" s="3">
        <v>2.7673000000000001</v>
      </c>
      <c r="C101" s="3">
        <v>472.74000999999998</v>
      </c>
      <c r="D101" s="4">
        <f t="shared" si="3"/>
        <v>7.3576576576576298E-3</v>
      </c>
      <c r="E101" s="4">
        <f t="shared" si="2"/>
        <v>7.8790001666666667</v>
      </c>
    </row>
    <row r="102" spans="1:5" x14ac:dyDescent="0.55000000000000004">
      <c r="A102" s="3">
        <v>30.9</v>
      </c>
      <c r="B102" s="3">
        <v>2.7755999999999998</v>
      </c>
      <c r="C102" s="3">
        <v>475.96</v>
      </c>
      <c r="D102" s="4">
        <f t="shared" si="3"/>
        <v>7.4324324324324051E-3</v>
      </c>
      <c r="E102" s="4">
        <f t="shared" si="2"/>
        <v>7.9326666666666661</v>
      </c>
    </row>
    <row r="103" spans="1:5" x14ac:dyDescent="0.55000000000000004">
      <c r="A103" s="3">
        <v>31</v>
      </c>
      <c r="B103" s="3">
        <v>2.7839999999999998</v>
      </c>
      <c r="C103" s="3">
        <v>479.17998999999998</v>
      </c>
      <c r="D103" s="4">
        <f t="shared" si="3"/>
        <v>7.508108108108081E-3</v>
      </c>
      <c r="E103" s="4">
        <f t="shared" si="2"/>
        <v>7.9863331666666664</v>
      </c>
    </row>
    <row r="104" spans="1:5" x14ac:dyDescent="0.55000000000000004">
      <c r="A104" s="3">
        <v>31.1</v>
      </c>
      <c r="B104" s="3">
        <v>2.7923</v>
      </c>
      <c r="C104" s="3">
        <v>482.39999</v>
      </c>
      <c r="D104" s="4">
        <f t="shared" si="3"/>
        <v>7.5828828828828562E-3</v>
      </c>
      <c r="E104" s="4">
        <f t="shared" si="2"/>
        <v>8.0399998333333329</v>
      </c>
    </row>
    <row r="105" spans="1:5" x14ac:dyDescent="0.55000000000000004">
      <c r="A105" s="3">
        <v>31.2</v>
      </c>
      <c r="B105" s="3">
        <v>2.8006000000000002</v>
      </c>
      <c r="C105" s="3">
        <v>486.43</v>
      </c>
      <c r="D105" s="4">
        <f t="shared" si="3"/>
        <v>7.6576576576576315E-3</v>
      </c>
      <c r="E105" s="4">
        <f t="shared" si="2"/>
        <v>8.1071666666666662</v>
      </c>
    </row>
    <row r="106" spans="1:5" x14ac:dyDescent="0.55000000000000004">
      <c r="A106" s="3">
        <v>31.3</v>
      </c>
      <c r="B106" s="3">
        <v>2.8089</v>
      </c>
      <c r="C106" s="3">
        <v>489.65</v>
      </c>
      <c r="D106" s="4">
        <f t="shared" si="3"/>
        <v>7.7324324324324033E-3</v>
      </c>
      <c r="E106" s="4">
        <f t="shared" si="2"/>
        <v>8.1608333333333327</v>
      </c>
    </row>
    <row r="107" spans="1:5" x14ac:dyDescent="0.55000000000000004">
      <c r="A107" s="3">
        <v>31.4</v>
      </c>
      <c r="B107" s="3">
        <v>2.8172999999999999</v>
      </c>
      <c r="C107" s="3">
        <v>492.86998999999997</v>
      </c>
      <c r="D107" s="4">
        <f t="shared" si="3"/>
        <v>7.8081081081080791E-3</v>
      </c>
      <c r="E107" s="4">
        <f t="shared" si="2"/>
        <v>8.214499833333333</v>
      </c>
    </row>
    <row r="108" spans="1:5" x14ac:dyDescent="0.55000000000000004">
      <c r="A108" s="3">
        <v>31.5</v>
      </c>
      <c r="B108" s="3">
        <v>2.8256999999999999</v>
      </c>
      <c r="C108" s="3">
        <v>496.08998000000003</v>
      </c>
      <c r="D108" s="4">
        <f t="shared" si="3"/>
        <v>7.883783783783755E-3</v>
      </c>
      <c r="E108" s="4">
        <f t="shared" si="2"/>
        <v>8.2681663333333333</v>
      </c>
    </row>
    <row r="109" spans="1:5" x14ac:dyDescent="0.55000000000000004">
      <c r="A109" s="3">
        <v>31.6</v>
      </c>
      <c r="B109" s="3">
        <v>2.8340000000000001</v>
      </c>
      <c r="C109" s="3">
        <v>499.31002999999998</v>
      </c>
      <c r="D109" s="4">
        <f t="shared" si="3"/>
        <v>7.9585585585585338E-3</v>
      </c>
      <c r="E109" s="4">
        <f t="shared" si="2"/>
        <v>8.3218338333333328</v>
      </c>
    </row>
    <row r="110" spans="1:5" x14ac:dyDescent="0.55000000000000004">
      <c r="A110" s="3">
        <v>31.7</v>
      </c>
      <c r="B110" s="3">
        <v>2.8422999999999998</v>
      </c>
      <c r="C110" s="3">
        <v>502.53001999999998</v>
      </c>
      <c r="D110" s="4">
        <f t="shared" si="3"/>
        <v>8.0333333333333055E-3</v>
      </c>
      <c r="E110" s="4">
        <f t="shared" si="2"/>
        <v>8.3755003333333331</v>
      </c>
    </row>
    <row r="111" spans="1:5" x14ac:dyDescent="0.55000000000000004">
      <c r="A111" s="3">
        <v>31.8</v>
      </c>
      <c r="B111" s="3">
        <v>2.8506</v>
      </c>
      <c r="C111" s="3">
        <v>505.76001000000002</v>
      </c>
      <c r="D111" s="4">
        <f t="shared" si="3"/>
        <v>8.1081081081080808E-3</v>
      </c>
      <c r="E111" s="4">
        <f t="shared" si="2"/>
        <v>8.4293335000000003</v>
      </c>
    </row>
    <row r="112" spans="1:5" x14ac:dyDescent="0.55000000000000004">
      <c r="A112" s="3">
        <v>31.9</v>
      </c>
      <c r="B112" s="3">
        <v>2.859</v>
      </c>
      <c r="C112" s="3">
        <v>508.98000999999999</v>
      </c>
      <c r="D112" s="4">
        <f t="shared" si="3"/>
        <v>8.1837837837837567E-3</v>
      </c>
      <c r="E112" s="4">
        <f t="shared" si="2"/>
        <v>8.4830001666666668</v>
      </c>
    </row>
    <row r="113" spans="1:5" x14ac:dyDescent="0.55000000000000004">
      <c r="A113" s="3">
        <v>32</v>
      </c>
      <c r="B113" s="3">
        <v>2.8673000000000002</v>
      </c>
      <c r="C113" s="3">
        <v>512.20000000000005</v>
      </c>
      <c r="D113" s="4">
        <f t="shared" si="3"/>
        <v>8.2585585585585319E-3</v>
      </c>
      <c r="E113" s="4">
        <f t="shared" ref="E113:E149" si="4">C113/$L$4</f>
        <v>8.5366666666666671</v>
      </c>
    </row>
    <row r="114" spans="1:5" x14ac:dyDescent="0.55000000000000004">
      <c r="A114" s="3">
        <v>32.1</v>
      </c>
      <c r="B114" s="3">
        <v>2.8755999999999999</v>
      </c>
      <c r="C114" s="3">
        <v>514.61001999999996</v>
      </c>
      <c r="D114" s="4">
        <f t="shared" si="3"/>
        <v>8.3333333333333072E-3</v>
      </c>
      <c r="E114" s="4">
        <f t="shared" si="4"/>
        <v>8.5768336666666656</v>
      </c>
    </row>
    <row r="115" spans="1:5" x14ac:dyDescent="0.55000000000000004">
      <c r="A115" s="3">
        <v>32.200000000000003</v>
      </c>
      <c r="B115" s="3">
        <v>2.8839000000000001</v>
      </c>
      <c r="C115" s="3">
        <v>517.84001000000001</v>
      </c>
      <c r="D115" s="4">
        <f t="shared" si="3"/>
        <v>8.4081081081080825E-3</v>
      </c>
      <c r="E115" s="4">
        <f t="shared" si="4"/>
        <v>8.6306668333333327</v>
      </c>
    </row>
    <row r="116" spans="1:5" x14ac:dyDescent="0.55000000000000004">
      <c r="A116" s="3">
        <v>32.299999999999997</v>
      </c>
      <c r="B116" s="3">
        <v>2.8923000000000001</v>
      </c>
      <c r="C116" s="3">
        <v>521.05999999999995</v>
      </c>
      <c r="D116" s="4">
        <f t="shared" si="3"/>
        <v>8.4837837837837583E-3</v>
      </c>
      <c r="E116" s="4">
        <f t="shared" si="4"/>
        <v>8.684333333333333</v>
      </c>
    </row>
    <row r="117" spans="1:5" x14ac:dyDescent="0.55000000000000004">
      <c r="A117" s="3">
        <v>32.4</v>
      </c>
      <c r="B117" s="3">
        <v>2.9007000000000001</v>
      </c>
      <c r="C117" s="3">
        <v>523.47002999999995</v>
      </c>
      <c r="D117" s="4">
        <f t="shared" si="3"/>
        <v>8.5594594594594342E-3</v>
      </c>
      <c r="E117" s="4">
        <f t="shared" si="4"/>
        <v>8.7245004999999995</v>
      </c>
    </row>
    <row r="118" spans="1:5" x14ac:dyDescent="0.55000000000000004">
      <c r="A118" s="3">
        <v>32.5</v>
      </c>
      <c r="B118" s="3">
        <v>2.9089999999999998</v>
      </c>
      <c r="C118" s="3">
        <v>525.88999000000001</v>
      </c>
      <c r="D118" s="4">
        <f t="shared" si="3"/>
        <v>8.634234234234206E-3</v>
      </c>
      <c r="E118" s="4">
        <f t="shared" si="4"/>
        <v>8.7648331666666675</v>
      </c>
    </row>
    <row r="119" spans="1:5" x14ac:dyDescent="0.55000000000000004">
      <c r="A119" s="3">
        <v>32.6</v>
      </c>
      <c r="B119" s="3">
        <v>2.9173</v>
      </c>
      <c r="C119" s="3">
        <v>529.10997999999995</v>
      </c>
      <c r="D119" s="4">
        <f t="shared" si="3"/>
        <v>8.7090090090089813E-3</v>
      </c>
      <c r="E119" s="4">
        <f t="shared" si="4"/>
        <v>8.818499666666666</v>
      </c>
    </row>
    <row r="120" spans="1:5" x14ac:dyDescent="0.55000000000000004">
      <c r="A120" s="3">
        <v>32.700000000000003</v>
      </c>
      <c r="B120" s="3">
        <v>2.9256000000000002</v>
      </c>
      <c r="C120" s="3">
        <v>531.53000999999995</v>
      </c>
      <c r="D120" s="4">
        <f t="shared" si="3"/>
        <v>8.78378378378376E-3</v>
      </c>
      <c r="E120" s="4">
        <f t="shared" si="4"/>
        <v>8.8588334999999994</v>
      </c>
    </row>
    <row r="121" spans="1:5" x14ac:dyDescent="0.55000000000000004">
      <c r="A121" s="3">
        <v>32.799999999999997</v>
      </c>
      <c r="B121" s="3">
        <v>2.9340000000000002</v>
      </c>
      <c r="C121" s="3">
        <v>534.75</v>
      </c>
      <c r="D121" s="4">
        <f t="shared" si="3"/>
        <v>8.8594594594594324E-3</v>
      </c>
      <c r="E121" s="4">
        <f t="shared" si="4"/>
        <v>8.9124999999999996</v>
      </c>
    </row>
    <row r="122" spans="1:5" x14ac:dyDescent="0.55000000000000004">
      <c r="A122" s="3">
        <v>32.9</v>
      </c>
      <c r="B122" s="3">
        <v>2.9422999999999999</v>
      </c>
      <c r="C122" s="3">
        <v>537.16002000000003</v>
      </c>
      <c r="D122" s="4">
        <f t="shared" si="3"/>
        <v>8.9342342342342076E-3</v>
      </c>
      <c r="E122" s="4">
        <f t="shared" si="4"/>
        <v>8.9526669999999999</v>
      </c>
    </row>
    <row r="123" spans="1:5" x14ac:dyDescent="0.55000000000000004">
      <c r="A123" s="3">
        <v>33</v>
      </c>
      <c r="B123" s="3">
        <v>2.9506000000000001</v>
      </c>
      <c r="C123" s="3">
        <v>538.78002000000004</v>
      </c>
      <c r="D123" s="4">
        <f t="shared" si="3"/>
        <v>9.0090090090089829E-3</v>
      </c>
      <c r="E123" s="4">
        <f t="shared" si="4"/>
        <v>8.979667000000001</v>
      </c>
    </row>
    <row r="124" spans="1:5" x14ac:dyDescent="0.55000000000000004">
      <c r="A124" s="3">
        <v>33.1</v>
      </c>
      <c r="B124" s="3">
        <v>2.9588999999999999</v>
      </c>
      <c r="C124" s="3">
        <v>542.00000999999997</v>
      </c>
      <c r="D124" s="4">
        <f t="shared" si="3"/>
        <v>9.0837837837837547E-3</v>
      </c>
      <c r="E124" s="4">
        <f t="shared" si="4"/>
        <v>9.0333334999999995</v>
      </c>
    </row>
    <row r="125" spans="1:5" x14ac:dyDescent="0.55000000000000004">
      <c r="A125" s="3">
        <v>33.200000000000003</v>
      </c>
      <c r="B125" s="3">
        <v>2.9672999999999998</v>
      </c>
      <c r="C125" s="3">
        <v>544.40998000000002</v>
      </c>
      <c r="D125" s="4">
        <f t="shared" si="3"/>
        <v>9.1594594594594306E-3</v>
      </c>
      <c r="E125" s="4">
        <f t="shared" si="4"/>
        <v>9.0734996666666667</v>
      </c>
    </row>
    <row r="126" spans="1:5" x14ac:dyDescent="0.55000000000000004">
      <c r="A126" s="3">
        <v>33.299999999999997</v>
      </c>
      <c r="B126" s="3">
        <v>2.9756999999999998</v>
      </c>
      <c r="C126" s="3">
        <v>546.83000000000004</v>
      </c>
      <c r="D126" s="4">
        <f t="shared" si="3"/>
        <v>9.2351351351351064E-3</v>
      </c>
      <c r="E126" s="4">
        <f t="shared" si="4"/>
        <v>9.1138333333333339</v>
      </c>
    </row>
    <row r="127" spans="1:5" x14ac:dyDescent="0.55000000000000004">
      <c r="A127" s="3">
        <v>33.4</v>
      </c>
      <c r="B127" s="3">
        <v>2.984</v>
      </c>
      <c r="C127" s="3">
        <v>549.25001999999995</v>
      </c>
      <c r="D127" s="4">
        <f t="shared" si="3"/>
        <v>9.3099099099098817E-3</v>
      </c>
      <c r="E127" s="4">
        <f t="shared" si="4"/>
        <v>9.1541669999999993</v>
      </c>
    </row>
    <row r="128" spans="1:5" x14ac:dyDescent="0.55000000000000004">
      <c r="A128" s="3">
        <v>33.5</v>
      </c>
      <c r="B128" s="3">
        <v>2.9923000000000002</v>
      </c>
      <c r="C128" s="3">
        <v>551.65998999999999</v>
      </c>
      <c r="D128" s="4">
        <f t="shared" si="3"/>
        <v>9.3846846846846604E-3</v>
      </c>
      <c r="E128" s="4">
        <f t="shared" si="4"/>
        <v>9.1943331666666666</v>
      </c>
    </row>
    <row r="129" spans="1:5" x14ac:dyDescent="0.55000000000000004">
      <c r="A129" s="3">
        <v>33.6</v>
      </c>
      <c r="B129" s="3">
        <v>3.0005999999999999</v>
      </c>
      <c r="C129" s="3">
        <v>553.26998000000003</v>
      </c>
      <c r="D129" s="4">
        <f t="shared" si="3"/>
        <v>9.4594594594594322E-3</v>
      </c>
      <c r="E129" s="4">
        <f t="shared" si="4"/>
        <v>9.2211663333333345</v>
      </c>
    </row>
    <row r="130" spans="1:5" x14ac:dyDescent="0.55000000000000004">
      <c r="A130" s="3">
        <v>33.700000000000003</v>
      </c>
      <c r="B130" s="3">
        <v>3.0089999999999999</v>
      </c>
      <c r="C130" s="3">
        <v>555.69001000000003</v>
      </c>
      <c r="D130" s="4">
        <f t="shared" si="3"/>
        <v>9.5351351351351081E-3</v>
      </c>
      <c r="E130" s="4">
        <f t="shared" si="4"/>
        <v>9.2615001666666679</v>
      </c>
    </row>
    <row r="131" spans="1:5" x14ac:dyDescent="0.55000000000000004">
      <c r="A131" s="3">
        <v>33.799999999999997</v>
      </c>
      <c r="B131" s="3">
        <v>3.0173000000000001</v>
      </c>
      <c r="C131" s="3">
        <v>557.29999999999995</v>
      </c>
      <c r="D131" s="4">
        <f t="shared" si="3"/>
        <v>9.6099099099098834E-3</v>
      </c>
      <c r="E131" s="4">
        <f t="shared" si="4"/>
        <v>9.2883333333333322</v>
      </c>
    </row>
    <row r="132" spans="1:5" x14ac:dyDescent="0.55000000000000004">
      <c r="A132" s="3">
        <v>33.9</v>
      </c>
      <c r="B132" s="3">
        <v>3.0255999999999998</v>
      </c>
      <c r="C132" s="3">
        <v>558.91</v>
      </c>
      <c r="D132" s="4">
        <f t="shared" ref="D132:D149" si="5">((B132/$L$3))-0.017572972972973</f>
        <v>9.6846846846846552E-3</v>
      </c>
      <c r="E132" s="4">
        <f t="shared" si="4"/>
        <v>9.3151666666666664</v>
      </c>
    </row>
    <row r="133" spans="1:5" x14ac:dyDescent="0.55000000000000004">
      <c r="A133" s="3">
        <v>34</v>
      </c>
      <c r="B133" s="3">
        <v>3.0339</v>
      </c>
      <c r="C133" s="3">
        <v>560.51999000000001</v>
      </c>
      <c r="D133" s="4">
        <f t="shared" si="5"/>
        <v>9.7594594594594339E-3</v>
      </c>
      <c r="E133" s="4">
        <f t="shared" si="4"/>
        <v>9.3419998333333343</v>
      </c>
    </row>
    <row r="134" spans="1:5" x14ac:dyDescent="0.55000000000000004">
      <c r="A134" s="3">
        <v>34.1</v>
      </c>
      <c r="B134" s="3">
        <v>3.0423</v>
      </c>
      <c r="C134" s="3">
        <v>562.12999000000002</v>
      </c>
      <c r="D134" s="4">
        <f t="shared" si="5"/>
        <v>9.8351351351351098E-3</v>
      </c>
      <c r="E134" s="4">
        <f t="shared" si="4"/>
        <v>9.3688331666666667</v>
      </c>
    </row>
    <row r="135" spans="1:5" x14ac:dyDescent="0.55000000000000004">
      <c r="A135" s="3">
        <v>34.200000000000003</v>
      </c>
      <c r="B135" s="3">
        <v>3.0507</v>
      </c>
      <c r="C135" s="3">
        <v>563.73999000000003</v>
      </c>
      <c r="D135" s="4">
        <f t="shared" si="5"/>
        <v>9.9108108108107822E-3</v>
      </c>
      <c r="E135" s="4">
        <f t="shared" si="4"/>
        <v>9.3956665000000008</v>
      </c>
    </row>
    <row r="136" spans="1:5" x14ac:dyDescent="0.55000000000000004">
      <c r="A136" s="3">
        <v>34.299999999999997</v>
      </c>
      <c r="B136" s="3">
        <v>3.0590000000000002</v>
      </c>
      <c r="C136" s="3">
        <v>565.34997999999996</v>
      </c>
      <c r="D136" s="4">
        <f t="shared" si="5"/>
        <v>9.9855855855855609E-3</v>
      </c>
      <c r="E136" s="4">
        <f t="shared" si="4"/>
        <v>9.4224996666666652</v>
      </c>
    </row>
    <row r="137" spans="1:5" x14ac:dyDescent="0.55000000000000004">
      <c r="A137" s="3">
        <v>34.4</v>
      </c>
      <c r="B137" s="3">
        <v>3.0672999999999999</v>
      </c>
      <c r="C137" s="3">
        <v>566.95997999999997</v>
      </c>
      <c r="D137" s="4">
        <f t="shared" si="5"/>
        <v>1.0060360360360333E-2</v>
      </c>
      <c r="E137" s="4">
        <f t="shared" si="4"/>
        <v>9.4493329999999993</v>
      </c>
    </row>
    <row r="138" spans="1:5" x14ac:dyDescent="0.55000000000000004">
      <c r="A138" s="3">
        <v>34.5</v>
      </c>
      <c r="B138" s="3">
        <v>3.0756000000000001</v>
      </c>
      <c r="C138" s="3">
        <v>567.77</v>
      </c>
      <c r="D138" s="4">
        <f t="shared" si="5"/>
        <v>1.0135135135135108E-2</v>
      </c>
      <c r="E138" s="4">
        <f t="shared" si="4"/>
        <v>9.4628333333333323</v>
      </c>
    </row>
    <row r="139" spans="1:5" x14ac:dyDescent="0.55000000000000004">
      <c r="A139" s="3">
        <v>34.6</v>
      </c>
      <c r="B139" s="3">
        <v>3.0840000000000001</v>
      </c>
      <c r="C139" s="3">
        <v>568.56997000000001</v>
      </c>
      <c r="D139" s="4">
        <f t="shared" si="5"/>
        <v>1.0210810810810784E-2</v>
      </c>
      <c r="E139" s="4">
        <f t="shared" si="4"/>
        <v>9.4761661666666672</v>
      </c>
    </row>
    <row r="140" spans="1:5" x14ac:dyDescent="0.55000000000000004">
      <c r="A140" s="3">
        <v>34.700000000000003</v>
      </c>
      <c r="B140" s="3">
        <v>3.0922999999999998</v>
      </c>
      <c r="C140" s="3">
        <v>569.38</v>
      </c>
      <c r="D140" s="4">
        <f t="shared" si="5"/>
        <v>1.0285585585585556E-2</v>
      </c>
      <c r="E140" s="4">
        <f t="shared" si="4"/>
        <v>9.4896666666666665</v>
      </c>
    </row>
    <row r="141" spans="1:5" x14ac:dyDescent="0.55000000000000004">
      <c r="A141" s="3">
        <v>34.799999999999997</v>
      </c>
      <c r="B141" s="3">
        <v>3.1006</v>
      </c>
      <c r="C141" s="3">
        <v>569.38</v>
      </c>
      <c r="D141" s="4">
        <f t="shared" si="5"/>
        <v>1.0360360360360334E-2</v>
      </c>
      <c r="E141" s="4">
        <f t="shared" si="4"/>
        <v>9.4896666666666665</v>
      </c>
    </row>
    <row r="142" spans="1:5" x14ac:dyDescent="0.55000000000000004">
      <c r="A142" s="3">
        <v>34.9</v>
      </c>
      <c r="B142" s="3">
        <v>3.1089000000000002</v>
      </c>
      <c r="C142" s="3">
        <v>570.18002000000001</v>
      </c>
      <c r="D142" s="4">
        <f t="shared" si="5"/>
        <v>1.043513513513511E-2</v>
      </c>
      <c r="E142" s="4">
        <f t="shared" si="4"/>
        <v>9.5030003333333344</v>
      </c>
    </row>
    <row r="143" spans="1:5" x14ac:dyDescent="0.55000000000000004">
      <c r="A143" s="3">
        <v>35</v>
      </c>
      <c r="B143" s="3">
        <v>3.1173000000000002</v>
      </c>
      <c r="C143" s="3">
        <v>570.18002000000001</v>
      </c>
      <c r="D143" s="4">
        <f t="shared" si="5"/>
        <v>1.0510810810810785E-2</v>
      </c>
      <c r="E143" s="4">
        <f t="shared" si="4"/>
        <v>9.5030003333333344</v>
      </c>
    </row>
    <row r="144" spans="1:5" x14ac:dyDescent="0.55000000000000004">
      <c r="A144" s="3">
        <v>35.1</v>
      </c>
      <c r="B144" s="3">
        <v>3.1257000000000001</v>
      </c>
      <c r="C144" s="3">
        <v>569.38</v>
      </c>
      <c r="D144" s="4">
        <f t="shared" si="5"/>
        <v>1.0586486486486461E-2</v>
      </c>
      <c r="E144" s="4">
        <f t="shared" si="4"/>
        <v>9.4896666666666665</v>
      </c>
    </row>
    <row r="145" spans="1:5" x14ac:dyDescent="0.55000000000000004">
      <c r="A145" s="3">
        <v>35.200000000000003</v>
      </c>
      <c r="B145" s="3">
        <v>3.1339999999999999</v>
      </c>
      <c r="C145" s="3">
        <v>568.56997000000001</v>
      </c>
      <c r="D145" s="4">
        <f t="shared" si="5"/>
        <v>1.0661261261261233E-2</v>
      </c>
      <c r="E145" s="4">
        <f t="shared" si="4"/>
        <v>9.4761661666666672</v>
      </c>
    </row>
    <row r="146" spans="1:5" x14ac:dyDescent="0.55000000000000004">
      <c r="A146" s="3">
        <v>35.299999999999997</v>
      </c>
      <c r="B146" s="3">
        <v>3.1423000000000001</v>
      </c>
      <c r="C146" s="3">
        <v>567.77</v>
      </c>
      <c r="D146" s="4">
        <f t="shared" si="5"/>
        <v>1.0736036036036008E-2</v>
      </c>
      <c r="E146" s="4">
        <f t="shared" si="4"/>
        <v>9.4628333333333323</v>
      </c>
    </row>
    <row r="147" spans="1:5" x14ac:dyDescent="0.55000000000000004">
      <c r="A147" s="3">
        <v>35.4</v>
      </c>
      <c r="B147" s="3">
        <v>3.1505999999999998</v>
      </c>
      <c r="C147" s="3">
        <v>566.16001000000006</v>
      </c>
      <c r="D147" s="4">
        <f t="shared" si="5"/>
        <v>1.0810810810810784E-2</v>
      </c>
      <c r="E147" s="4">
        <f t="shared" si="4"/>
        <v>9.436000166666668</v>
      </c>
    </row>
    <row r="148" spans="1:5" x14ac:dyDescent="0.55000000000000004">
      <c r="A148" s="3">
        <v>35.5</v>
      </c>
      <c r="B148" s="3">
        <v>3.1589999999999998</v>
      </c>
      <c r="C148" s="3">
        <v>562.94002</v>
      </c>
      <c r="D148" s="4">
        <f t="shared" si="5"/>
        <v>1.0886486486486456E-2</v>
      </c>
      <c r="E148" s="4">
        <f t="shared" si="4"/>
        <v>9.3823336666666659</v>
      </c>
    </row>
    <row r="149" spans="1:5" x14ac:dyDescent="0.55000000000000004">
      <c r="D149" s="4"/>
      <c r="E149" s="4"/>
    </row>
    <row r="150" spans="1:5" x14ac:dyDescent="0.55000000000000004">
      <c r="D150" s="4"/>
      <c r="E150" s="4"/>
    </row>
    <row r="151" spans="1:5" x14ac:dyDescent="0.55000000000000004">
      <c r="D151" s="4"/>
      <c r="E151" s="4"/>
    </row>
    <row r="152" spans="1:5" x14ac:dyDescent="0.55000000000000004">
      <c r="D152" s="4"/>
      <c r="E152" s="4"/>
    </row>
    <row r="153" spans="1:5" x14ac:dyDescent="0.55000000000000004">
      <c r="D153" s="4"/>
      <c r="E153" s="4"/>
    </row>
    <row r="154" spans="1:5" x14ac:dyDescent="0.55000000000000004">
      <c r="D154" s="4"/>
      <c r="E154" s="4"/>
    </row>
    <row r="155" spans="1:5" x14ac:dyDescent="0.55000000000000004">
      <c r="D155" s="4"/>
      <c r="E155" s="4"/>
    </row>
    <row r="156" spans="1:5" x14ac:dyDescent="0.55000000000000004">
      <c r="D156" s="4"/>
      <c r="E156" s="4"/>
    </row>
    <row r="157" spans="1:5" x14ac:dyDescent="0.55000000000000004">
      <c r="D157" s="4"/>
      <c r="E157" s="4"/>
    </row>
    <row r="158" spans="1:5" x14ac:dyDescent="0.55000000000000004">
      <c r="D158" s="4"/>
      <c r="E158" s="4"/>
    </row>
    <row r="159" spans="1:5" x14ac:dyDescent="0.55000000000000004">
      <c r="D159" s="4"/>
      <c r="E159" s="4"/>
    </row>
    <row r="160" spans="1:5" x14ac:dyDescent="0.55000000000000004">
      <c r="D160" s="4"/>
      <c r="E160" s="4"/>
    </row>
    <row r="161" spans="4:5" x14ac:dyDescent="0.55000000000000004">
      <c r="D161" s="4"/>
      <c r="E161" s="4"/>
    </row>
    <row r="162" spans="4:5" x14ac:dyDescent="0.55000000000000004">
      <c r="D162" s="4"/>
      <c r="E162" s="4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04E82E-F6B4-4D84-BC60-B5FC4A2194A6}">
  <dimension ref="A1:M164"/>
  <sheetViews>
    <sheetView workbookViewId="0">
      <selection activeCell="H21" sqref="H21"/>
    </sheetView>
  </sheetViews>
  <sheetFormatPr defaultRowHeight="14.4" x14ac:dyDescent="0.55000000000000004"/>
  <cols>
    <col min="1" max="3" width="8.83984375" style="3"/>
    <col min="4" max="4" width="10.7890625" customWidth="1"/>
    <col min="5" max="5" width="7.1015625" customWidth="1"/>
  </cols>
  <sheetData>
    <row r="1" spans="1:13" x14ac:dyDescent="0.55000000000000004">
      <c r="A1" s="3" t="s">
        <v>0</v>
      </c>
      <c r="B1" s="3" t="s">
        <v>1</v>
      </c>
      <c r="C1" s="3" t="s">
        <v>2</v>
      </c>
      <c r="D1" s="4" t="s">
        <v>3</v>
      </c>
      <c r="E1" s="4" t="s">
        <v>17</v>
      </c>
    </row>
    <row r="2" spans="1:13" x14ac:dyDescent="0.55000000000000004">
      <c r="A2" s="3" t="s">
        <v>4</v>
      </c>
      <c r="B2" s="3" t="s">
        <v>5</v>
      </c>
      <c r="C2" s="3" t="s">
        <v>6</v>
      </c>
      <c r="D2" s="4" t="s">
        <v>7</v>
      </c>
      <c r="E2" s="4" t="s">
        <v>16</v>
      </c>
    </row>
    <row r="3" spans="1:13" x14ac:dyDescent="0.55000000000000004">
      <c r="A3" s="3">
        <v>20.8</v>
      </c>
      <c r="B3" s="3">
        <v>1.7316</v>
      </c>
      <c r="C3" s="3">
        <v>15.3</v>
      </c>
      <c r="D3" s="4">
        <f>((B3/$L$3))-0.0156</f>
        <v>0</v>
      </c>
      <c r="E3" s="4">
        <f t="shared" ref="E3:E50" si="0">C3/$L$4</f>
        <v>0.255</v>
      </c>
      <c r="K3" t="s">
        <v>15</v>
      </c>
      <c r="L3">
        <v>111</v>
      </c>
      <c r="M3" t="s">
        <v>9</v>
      </c>
    </row>
    <row r="4" spans="1:13" x14ac:dyDescent="0.55000000000000004">
      <c r="A4" s="3">
        <v>20.9</v>
      </c>
      <c r="B4" s="3">
        <v>1.7399</v>
      </c>
      <c r="C4" s="3">
        <v>19.32</v>
      </c>
      <c r="D4" s="4">
        <f t="shared" ref="D4:D67" si="1">((B4/$L$3))-0.0156</f>
        <v>7.477477477477526E-5</v>
      </c>
      <c r="E4" s="4">
        <f t="shared" si="0"/>
        <v>0.32200000000000001</v>
      </c>
      <c r="K4" t="s">
        <v>14</v>
      </c>
      <c r="L4">
        <f>10*6</f>
        <v>60</v>
      </c>
      <c r="M4" t="s">
        <v>13</v>
      </c>
    </row>
    <row r="5" spans="1:13" x14ac:dyDescent="0.55000000000000004">
      <c r="A5" s="3">
        <v>21</v>
      </c>
      <c r="B5" s="3">
        <v>1.7483</v>
      </c>
      <c r="C5" s="3">
        <v>24.16</v>
      </c>
      <c r="D5" s="4">
        <f t="shared" si="1"/>
        <v>1.5045045045045113E-4</v>
      </c>
      <c r="E5" s="4">
        <f t="shared" si="0"/>
        <v>0.40266666666666667</v>
      </c>
    </row>
    <row r="6" spans="1:13" x14ac:dyDescent="0.55000000000000004">
      <c r="A6" s="3">
        <v>21.1</v>
      </c>
      <c r="B6" s="3">
        <v>1.7565999999999999</v>
      </c>
      <c r="C6" s="3">
        <v>28.99</v>
      </c>
      <c r="D6" s="4">
        <f t="shared" si="1"/>
        <v>2.2522522522522639E-4</v>
      </c>
      <c r="E6" s="4">
        <f t="shared" si="0"/>
        <v>0.48316666666666663</v>
      </c>
    </row>
    <row r="7" spans="1:13" x14ac:dyDescent="0.55000000000000004">
      <c r="A7" s="3">
        <v>21.2</v>
      </c>
      <c r="B7" s="3">
        <v>1.7648999999999999</v>
      </c>
      <c r="C7" s="3">
        <v>34.630000000000003</v>
      </c>
      <c r="D7" s="4">
        <f t="shared" si="1"/>
        <v>3.0000000000000165E-4</v>
      </c>
      <c r="E7" s="4">
        <f t="shared" si="0"/>
        <v>0.57716666666666672</v>
      </c>
    </row>
    <row r="8" spans="1:13" x14ac:dyDescent="0.55000000000000004">
      <c r="A8" s="3">
        <v>21.3</v>
      </c>
      <c r="B8" s="3">
        <v>1.7732000000000001</v>
      </c>
      <c r="C8" s="3">
        <v>38.65</v>
      </c>
      <c r="D8" s="4">
        <f t="shared" si="1"/>
        <v>3.7477477477477691E-4</v>
      </c>
      <c r="E8" s="4">
        <f t="shared" si="0"/>
        <v>0.64416666666666667</v>
      </c>
    </row>
    <row r="9" spans="1:13" x14ac:dyDescent="0.55000000000000004">
      <c r="A9" s="3">
        <v>21.4</v>
      </c>
      <c r="B9" s="3">
        <v>1.7816000000000001</v>
      </c>
      <c r="C9" s="3">
        <v>44.29</v>
      </c>
      <c r="D9" s="4">
        <f t="shared" si="1"/>
        <v>4.5045045045045279E-4</v>
      </c>
      <c r="E9" s="4">
        <f t="shared" si="0"/>
        <v>0.73816666666666664</v>
      </c>
    </row>
    <row r="10" spans="1:13" x14ac:dyDescent="0.55000000000000004">
      <c r="A10" s="3">
        <v>21.5</v>
      </c>
      <c r="B10" s="3">
        <v>1.7899</v>
      </c>
      <c r="C10" s="3">
        <v>49.12</v>
      </c>
      <c r="D10" s="4">
        <f t="shared" si="1"/>
        <v>5.2522522522522805E-4</v>
      </c>
      <c r="E10" s="4">
        <f t="shared" si="0"/>
        <v>0.81866666666666665</v>
      </c>
    </row>
    <row r="11" spans="1:13" x14ac:dyDescent="0.55000000000000004">
      <c r="A11" s="3">
        <v>21.6</v>
      </c>
      <c r="B11" s="3">
        <v>1.7982</v>
      </c>
      <c r="C11" s="3">
        <v>54.76</v>
      </c>
      <c r="D11" s="4">
        <f t="shared" si="1"/>
        <v>5.9999999999999984E-4</v>
      </c>
      <c r="E11" s="4">
        <f t="shared" si="0"/>
        <v>0.91266666666666663</v>
      </c>
    </row>
    <row r="12" spans="1:13" x14ac:dyDescent="0.55000000000000004">
      <c r="A12" s="3">
        <v>21.7</v>
      </c>
      <c r="B12" s="3">
        <v>1.8066</v>
      </c>
      <c r="C12" s="3">
        <v>59.59</v>
      </c>
      <c r="D12" s="4">
        <f t="shared" si="1"/>
        <v>6.7567567567567571E-4</v>
      </c>
      <c r="E12" s="4">
        <f t="shared" si="0"/>
        <v>0.99316666666666675</v>
      </c>
    </row>
    <row r="13" spans="1:13" x14ac:dyDescent="0.55000000000000004">
      <c r="A13" s="3">
        <v>21.8</v>
      </c>
      <c r="B13" s="3">
        <v>1.8149</v>
      </c>
      <c r="C13" s="3">
        <v>65.23</v>
      </c>
      <c r="D13" s="4">
        <f t="shared" si="1"/>
        <v>7.5045045045045097E-4</v>
      </c>
      <c r="E13" s="4">
        <f t="shared" si="0"/>
        <v>1.0871666666666668</v>
      </c>
    </row>
    <row r="14" spans="1:13" x14ac:dyDescent="0.55000000000000004">
      <c r="A14" s="3">
        <v>21.9</v>
      </c>
      <c r="B14" s="3">
        <v>1.8232999999999999</v>
      </c>
      <c r="C14" s="3">
        <v>70.06</v>
      </c>
      <c r="D14" s="4">
        <f t="shared" si="1"/>
        <v>8.2612612612612685E-4</v>
      </c>
      <c r="E14" s="4">
        <f t="shared" si="0"/>
        <v>1.1676666666666666</v>
      </c>
    </row>
    <row r="15" spans="1:13" x14ac:dyDescent="0.55000000000000004">
      <c r="A15" s="3">
        <v>22</v>
      </c>
      <c r="B15" s="3">
        <v>1.8315999999999999</v>
      </c>
      <c r="C15" s="3">
        <v>74.89</v>
      </c>
      <c r="D15" s="4">
        <f t="shared" si="1"/>
        <v>9.0090090090090211E-4</v>
      </c>
      <c r="E15" s="4">
        <f t="shared" si="0"/>
        <v>1.2481666666666666</v>
      </c>
    </row>
    <row r="16" spans="1:13" x14ac:dyDescent="0.55000000000000004">
      <c r="A16" s="3">
        <v>22.1</v>
      </c>
      <c r="B16" s="3">
        <v>1.8399000000000001</v>
      </c>
      <c r="C16" s="3">
        <v>79.72</v>
      </c>
      <c r="D16" s="4">
        <f t="shared" si="1"/>
        <v>9.7567567567567737E-4</v>
      </c>
      <c r="E16" s="4">
        <f t="shared" si="0"/>
        <v>1.3286666666666667</v>
      </c>
    </row>
    <row r="17" spans="1:13" x14ac:dyDescent="0.55000000000000004">
      <c r="A17" s="3">
        <v>22.2</v>
      </c>
      <c r="B17" s="3">
        <v>1.8482000000000001</v>
      </c>
      <c r="C17" s="3">
        <v>84.56</v>
      </c>
      <c r="D17" s="4">
        <f t="shared" si="1"/>
        <v>1.0504504504504526E-3</v>
      </c>
      <c r="E17" s="4">
        <f t="shared" si="0"/>
        <v>1.4093333333333333</v>
      </c>
    </row>
    <row r="18" spans="1:13" x14ac:dyDescent="0.55000000000000004">
      <c r="A18" s="3">
        <v>22.3</v>
      </c>
      <c r="B18" s="3">
        <v>1.8566</v>
      </c>
      <c r="C18" s="3">
        <v>90.19</v>
      </c>
      <c r="D18" s="4">
        <f t="shared" si="1"/>
        <v>1.1261261261261285E-3</v>
      </c>
      <c r="E18" s="4">
        <f t="shared" si="0"/>
        <v>1.5031666666666665</v>
      </c>
    </row>
    <row r="19" spans="1:13" x14ac:dyDescent="0.55000000000000004">
      <c r="A19" s="3">
        <v>22.4</v>
      </c>
      <c r="B19" s="3">
        <v>1.8649</v>
      </c>
      <c r="C19" s="3">
        <v>95.03</v>
      </c>
      <c r="D19" s="4">
        <f t="shared" si="1"/>
        <v>1.2009009009009003E-3</v>
      </c>
      <c r="E19" s="4">
        <f t="shared" si="0"/>
        <v>1.5838333333333334</v>
      </c>
    </row>
    <row r="20" spans="1:13" x14ac:dyDescent="0.55000000000000004">
      <c r="A20" s="3">
        <v>22.5</v>
      </c>
      <c r="B20" s="3">
        <v>1.8732</v>
      </c>
      <c r="C20" s="3">
        <v>100.66</v>
      </c>
      <c r="D20" s="4">
        <f t="shared" si="1"/>
        <v>1.2756756756756756E-3</v>
      </c>
      <c r="E20" s="4">
        <f t="shared" si="0"/>
        <v>1.6776666666666666</v>
      </c>
    </row>
    <row r="21" spans="1:13" x14ac:dyDescent="0.55000000000000004">
      <c r="A21" s="3">
        <v>22.6</v>
      </c>
      <c r="B21" s="3">
        <v>1.8815999999999999</v>
      </c>
      <c r="C21" s="3">
        <v>105.5</v>
      </c>
      <c r="D21" s="4">
        <f t="shared" si="1"/>
        <v>1.3513513513513514E-3</v>
      </c>
      <c r="E21" s="4">
        <f t="shared" si="0"/>
        <v>1.7583333333333333</v>
      </c>
    </row>
    <row r="22" spans="1:13" x14ac:dyDescent="0.55000000000000004">
      <c r="A22" s="3">
        <v>22.7</v>
      </c>
      <c r="B22" s="3">
        <v>1.8898999999999999</v>
      </c>
      <c r="C22" s="3">
        <v>110.33</v>
      </c>
      <c r="D22" s="4">
        <f t="shared" si="1"/>
        <v>1.4261261261261267E-3</v>
      </c>
      <c r="E22" s="4">
        <f t="shared" si="0"/>
        <v>1.8388333333333333</v>
      </c>
    </row>
    <row r="23" spans="1:13" x14ac:dyDescent="0.55000000000000004">
      <c r="A23" s="3">
        <v>22.8</v>
      </c>
      <c r="B23" s="3">
        <v>1.8983000000000001</v>
      </c>
      <c r="C23" s="3">
        <v>115.16</v>
      </c>
      <c r="D23" s="4">
        <f t="shared" si="1"/>
        <v>1.5018018018018026E-3</v>
      </c>
      <c r="E23" s="4">
        <f t="shared" si="0"/>
        <v>1.9193333333333333</v>
      </c>
    </row>
    <row r="24" spans="1:13" x14ac:dyDescent="0.55000000000000004">
      <c r="A24" s="3">
        <v>22.9</v>
      </c>
      <c r="B24" s="3">
        <v>1.9066000000000001</v>
      </c>
      <c r="C24" s="3">
        <v>119.99</v>
      </c>
      <c r="D24" s="4">
        <f t="shared" si="1"/>
        <v>1.5765765765765778E-3</v>
      </c>
      <c r="E24" s="4">
        <f t="shared" si="0"/>
        <v>1.9998333333333334</v>
      </c>
    </row>
    <row r="25" spans="1:13" x14ac:dyDescent="0.55000000000000004">
      <c r="A25" s="3">
        <v>23</v>
      </c>
      <c r="B25" s="3">
        <v>1.9149</v>
      </c>
      <c r="C25" s="3">
        <v>125.63</v>
      </c>
      <c r="D25" s="4">
        <f t="shared" si="1"/>
        <v>1.6513513513513531E-3</v>
      </c>
      <c r="E25" s="4">
        <f t="shared" si="0"/>
        <v>2.0938333333333334</v>
      </c>
    </row>
    <row r="26" spans="1:13" x14ac:dyDescent="0.55000000000000004">
      <c r="A26" s="3">
        <v>23.1</v>
      </c>
      <c r="B26" s="3">
        <v>1.9232</v>
      </c>
      <c r="C26" s="3">
        <v>130.46001000000001</v>
      </c>
      <c r="D26" s="4">
        <f t="shared" si="1"/>
        <v>1.7261261261261283E-3</v>
      </c>
      <c r="E26" s="4">
        <f t="shared" si="0"/>
        <v>2.1743335000000004</v>
      </c>
      <c r="J26" s="5" t="s">
        <v>12</v>
      </c>
      <c r="K26" s="5"/>
      <c r="L26" s="6">
        <f>MAX(E:E)</f>
        <v>9.2883333333333322</v>
      </c>
      <c r="M26" s="5" t="s">
        <v>11</v>
      </c>
    </row>
    <row r="27" spans="1:13" x14ac:dyDescent="0.55000000000000004">
      <c r="A27" s="3">
        <v>23.2</v>
      </c>
      <c r="B27" s="3">
        <v>1.9316</v>
      </c>
      <c r="C27" s="3">
        <v>135.28998999999999</v>
      </c>
      <c r="D27" s="4">
        <f t="shared" si="1"/>
        <v>1.8018018018018007E-3</v>
      </c>
      <c r="E27" s="4">
        <f t="shared" si="0"/>
        <v>2.2548331666666663</v>
      </c>
      <c r="J27" s="5" t="s">
        <v>10</v>
      </c>
      <c r="K27" s="5"/>
      <c r="L27" s="7">
        <v>1.0960360360360362E-2</v>
      </c>
      <c r="M27" s="5" t="s">
        <v>18</v>
      </c>
    </row>
    <row r="28" spans="1:13" x14ac:dyDescent="0.55000000000000004">
      <c r="A28" s="3">
        <v>23.3</v>
      </c>
      <c r="B28" s="3">
        <v>1.9399</v>
      </c>
      <c r="C28" s="3">
        <v>140.93</v>
      </c>
      <c r="D28" s="4">
        <f t="shared" si="1"/>
        <v>1.876576576576576E-3</v>
      </c>
      <c r="E28" s="4">
        <f t="shared" si="0"/>
        <v>2.3488333333333333</v>
      </c>
    </row>
    <row r="29" spans="1:13" x14ac:dyDescent="0.55000000000000004">
      <c r="A29" s="3">
        <v>23.4</v>
      </c>
      <c r="B29" s="3">
        <v>1.9481999999999999</v>
      </c>
      <c r="C29" s="3">
        <v>144.96</v>
      </c>
      <c r="D29" s="4">
        <f t="shared" si="1"/>
        <v>1.9513513513513513E-3</v>
      </c>
      <c r="E29" s="4">
        <f t="shared" si="0"/>
        <v>2.4159999999999999</v>
      </c>
    </row>
    <row r="30" spans="1:13" x14ac:dyDescent="0.55000000000000004">
      <c r="A30" s="3">
        <v>23.5</v>
      </c>
      <c r="B30" s="3">
        <v>1.9565999999999999</v>
      </c>
      <c r="C30" s="3">
        <v>150.6</v>
      </c>
      <c r="D30" s="4">
        <f t="shared" si="1"/>
        <v>2.0270270270270271E-3</v>
      </c>
      <c r="E30" s="4">
        <f t="shared" si="0"/>
        <v>2.5099999999999998</v>
      </c>
    </row>
    <row r="31" spans="1:13" x14ac:dyDescent="0.55000000000000004">
      <c r="A31" s="3">
        <v>23.6</v>
      </c>
      <c r="B31" s="3">
        <v>1.9649000000000001</v>
      </c>
      <c r="C31" s="3">
        <v>155.43</v>
      </c>
      <c r="D31" s="4">
        <f t="shared" si="1"/>
        <v>2.1018018018018024E-3</v>
      </c>
      <c r="E31" s="4">
        <f t="shared" si="0"/>
        <v>2.5905</v>
      </c>
    </row>
    <row r="32" spans="1:13" x14ac:dyDescent="0.55000000000000004">
      <c r="A32" s="3">
        <v>23.7</v>
      </c>
      <c r="B32" s="3">
        <v>1.9733000000000001</v>
      </c>
      <c r="C32" s="3">
        <v>160.26</v>
      </c>
      <c r="D32" s="4">
        <f t="shared" si="1"/>
        <v>2.1774774774774783E-3</v>
      </c>
      <c r="E32" s="4">
        <f t="shared" si="0"/>
        <v>2.6709999999999998</v>
      </c>
    </row>
    <row r="33" spans="1:5" x14ac:dyDescent="0.55000000000000004">
      <c r="A33" s="3">
        <v>23.8</v>
      </c>
      <c r="B33" s="3">
        <v>1.9816</v>
      </c>
      <c r="C33" s="3">
        <v>165.09001000000001</v>
      </c>
      <c r="D33" s="4">
        <f t="shared" si="1"/>
        <v>2.2522522522522535E-3</v>
      </c>
      <c r="E33" s="4">
        <f t="shared" si="0"/>
        <v>2.7515001666666667</v>
      </c>
    </row>
    <row r="34" spans="1:5" x14ac:dyDescent="0.55000000000000004">
      <c r="A34" s="3">
        <v>23.9</v>
      </c>
      <c r="B34" s="3">
        <v>1.9899</v>
      </c>
      <c r="C34" s="3">
        <v>170.72998999999999</v>
      </c>
      <c r="D34" s="4">
        <f t="shared" si="1"/>
        <v>2.3270270270270288E-3</v>
      </c>
      <c r="E34" s="4">
        <f t="shared" si="0"/>
        <v>2.8454998333333332</v>
      </c>
    </row>
    <row r="35" spans="1:5" x14ac:dyDescent="0.55000000000000004">
      <c r="A35" s="3">
        <v>24</v>
      </c>
      <c r="B35" s="3">
        <v>1.9982</v>
      </c>
      <c r="C35" s="3">
        <v>175.56</v>
      </c>
      <c r="D35" s="4">
        <f t="shared" si="1"/>
        <v>2.4018018018018006E-3</v>
      </c>
      <c r="E35" s="4">
        <f t="shared" si="0"/>
        <v>2.9260000000000002</v>
      </c>
    </row>
    <row r="36" spans="1:5" x14ac:dyDescent="0.55000000000000004">
      <c r="A36" s="3">
        <v>24.1</v>
      </c>
      <c r="B36" s="3">
        <v>2.0066000000000002</v>
      </c>
      <c r="C36" s="3">
        <v>179.59</v>
      </c>
      <c r="D36" s="4">
        <f t="shared" si="1"/>
        <v>2.4774774774774799E-3</v>
      </c>
      <c r="E36" s="4">
        <f t="shared" si="0"/>
        <v>2.9931666666666668</v>
      </c>
    </row>
    <row r="37" spans="1:5" x14ac:dyDescent="0.55000000000000004">
      <c r="A37" s="3">
        <v>24.2</v>
      </c>
      <c r="B37" s="3">
        <v>2.0148999999999999</v>
      </c>
      <c r="C37" s="3">
        <v>184.42</v>
      </c>
      <c r="D37" s="4">
        <f t="shared" si="1"/>
        <v>2.5522522522522517E-3</v>
      </c>
      <c r="E37" s="4">
        <f t="shared" si="0"/>
        <v>3.0736666666666665</v>
      </c>
    </row>
    <row r="38" spans="1:5" x14ac:dyDescent="0.55000000000000004">
      <c r="A38" s="3">
        <v>24.3</v>
      </c>
      <c r="B38" s="3">
        <v>2.0232000000000001</v>
      </c>
      <c r="C38" s="3">
        <v>190.06</v>
      </c>
      <c r="D38" s="4">
        <f t="shared" si="1"/>
        <v>2.6270270270270304E-3</v>
      </c>
      <c r="E38" s="4">
        <f t="shared" si="0"/>
        <v>3.1676666666666669</v>
      </c>
    </row>
    <row r="39" spans="1:5" x14ac:dyDescent="0.55000000000000004">
      <c r="A39" s="3">
        <v>24.4</v>
      </c>
      <c r="B39" s="3">
        <v>2.0316000000000001</v>
      </c>
      <c r="C39" s="3">
        <v>194.89000999999999</v>
      </c>
      <c r="D39" s="4">
        <f t="shared" si="1"/>
        <v>2.7027027027027029E-3</v>
      </c>
      <c r="E39" s="4">
        <f t="shared" si="0"/>
        <v>3.2481668333333333</v>
      </c>
    </row>
    <row r="40" spans="1:5" x14ac:dyDescent="0.55000000000000004">
      <c r="A40" s="3">
        <v>24.5</v>
      </c>
      <c r="B40" s="3">
        <v>2.0398999999999998</v>
      </c>
      <c r="C40" s="3">
        <v>199.71999</v>
      </c>
      <c r="D40" s="4">
        <f t="shared" si="1"/>
        <v>2.7774774774774781E-3</v>
      </c>
      <c r="E40" s="4">
        <f t="shared" si="0"/>
        <v>3.3286664999999998</v>
      </c>
    </row>
    <row r="41" spans="1:5" x14ac:dyDescent="0.55000000000000004">
      <c r="A41" s="3">
        <v>24.6</v>
      </c>
      <c r="B41" s="3">
        <v>2.0482999999999998</v>
      </c>
      <c r="C41" s="3">
        <v>203.75</v>
      </c>
      <c r="D41" s="4">
        <f t="shared" si="1"/>
        <v>2.8531531531531505E-3</v>
      </c>
      <c r="E41" s="4">
        <f t="shared" si="0"/>
        <v>3.3958333333333335</v>
      </c>
    </row>
    <row r="42" spans="1:5" x14ac:dyDescent="0.55000000000000004">
      <c r="A42" s="3">
        <v>24.7</v>
      </c>
      <c r="B42" s="3">
        <v>2.0566</v>
      </c>
      <c r="C42" s="3">
        <v>208.58</v>
      </c>
      <c r="D42" s="4">
        <f t="shared" si="1"/>
        <v>2.9279279279279292E-3</v>
      </c>
      <c r="E42" s="4">
        <f t="shared" si="0"/>
        <v>3.4763333333333337</v>
      </c>
    </row>
    <row r="43" spans="1:5" x14ac:dyDescent="0.55000000000000004">
      <c r="A43" s="3">
        <v>24.8</v>
      </c>
      <c r="B43" s="3">
        <v>2.0649000000000002</v>
      </c>
      <c r="C43" s="3">
        <v>213.41</v>
      </c>
      <c r="D43" s="4">
        <f t="shared" si="1"/>
        <v>3.0027027027027045E-3</v>
      </c>
      <c r="E43" s="4">
        <f t="shared" si="0"/>
        <v>3.5568333333333331</v>
      </c>
    </row>
    <row r="44" spans="1:5" x14ac:dyDescent="0.55000000000000004">
      <c r="A44" s="3">
        <v>24.9</v>
      </c>
      <c r="B44" s="3">
        <v>2.0731999999999999</v>
      </c>
      <c r="C44" s="3">
        <v>218.25001</v>
      </c>
      <c r="D44" s="4">
        <f t="shared" si="1"/>
        <v>3.0774774774774763E-3</v>
      </c>
      <c r="E44" s="4">
        <f t="shared" si="0"/>
        <v>3.6375001666666669</v>
      </c>
    </row>
    <row r="45" spans="1:5" x14ac:dyDescent="0.55000000000000004">
      <c r="A45" s="3">
        <v>25</v>
      </c>
      <c r="B45" s="3">
        <v>2.0815999999999999</v>
      </c>
      <c r="C45" s="3">
        <v>223.07999000000001</v>
      </c>
      <c r="D45" s="4">
        <f t="shared" si="1"/>
        <v>3.1531531531531522E-3</v>
      </c>
      <c r="E45" s="4">
        <f t="shared" si="0"/>
        <v>3.7179998333333333</v>
      </c>
    </row>
    <row r="46" spans="1:5" x14ac:dyDescent="0.55000000000000004">
      <c r="A46" s="3">
        <v>25.1</v>
      </c>
      <c r="B46" s="3">
        <v>2.0899000000000001</v>
      </c>
      <c r="C46" s="3">
        <v>227.91</v>
      </c>
      <c r="D46" s="4">
        <f t="shared" si="1"/>
        <v>3.2279279279279309E-3</v>
      </c>
      <c r="E46" s="4">
        <f t="shared" si="0"/>
        <v>3.7984999999999998</v>
      </c>
    </row>
    <row r="47" spans="1:5" x14ac:dyDescent="0.55000000000000004">
      <c r="A47" s="3">
        <v>25.2</v>
      </c>
      <c r="B47" s="3">
        <v>2.0981999999999998</v>
      </c>
      <c r="C47" s="3">
        <v>232.74</v>
      </c>
      <c r="D47" s="4">
        <f t="shared" si="1"/>
        <v>3.3027027027027027E-3</v>
      </c>
      <c r="E47" s="4">
        <f t="shared" si="0"/>
        <v>3.879</v>
      </c>
    </row>
    <row r="48" spans="1:5" x14ac:dyDescent="0.55000000000000004">
      <c r="A48" s="3">
        <v>25.3</v>
      </c>
      <c r="B48" s="3">
        <v>2.1065999999999998</v>
      </c>
      <c r="C48" s="3">
        <v>237.57001</v>
      </c>
      <c r="D48" s="4">
        <f t="shared" si="1"/>
        <v>3.3783783783783786E-3</v>
      </c>
      <c r="E48" s="4">
        <f t="shared" si="0"/>
        <v>3.9595001666666665</v>
      </c>
    </row>
    <row r="49" spans="1:5" x14ac:dyDescent="0.55000000000000004">
      <c r="A49" s="3">
        <v>25.4</v>
      </c>
      <c r="B49" s="3">
        <v>2.1149</v>
      </c>
      <c r="C49" s="3">
        <v>242.41</v>
      </c>
      <c r="D49" s="4">
        <f t="shared" si="1"/>
        <v>3.4531531531531538E-3</v>
      </c>
      <c r="E49" s="4">
        <f t="shared" si="0"/>
        <v>4.0401666666666669</v>
      </c>
    </row>
    <row r="50" spans="1:5" x14ac:dyDescent="0.55000000000000004">
      <c r="A50" s="3">
        <v>25.5</v>
      </c>
      <c r="B50" s="3">
        <v>2.1233</v>
      </c>
      <c r="C50" s="3">
        <v>247.23999000000001</v>
      </c>
      <c r="D50" s="4">
        <f t="shared" si="1"/>
        <v>3.5288288288288297E-3</v>
      </c>
      <c r="E50" s="4">
        <f t="shared" si="0"/>
        <v>4.1206665000000005</v>
      </c>
    </row>
    <row r="51" spans="1:5" x14ac:dyDescent="0.55000000000000004">
      <c r="A51" s="3">
        <v>25.6</v>
      </c>
      <c r="B51" s="3">
        <v>2.1316000000000002</v>
      </c>
      <c r="C51" s="3">
        <v>252.07001</v>
      </c>
      <c r="D51" s="4">
        <f t="shared" si="1"/>
        <v>3.603603603603605E-3</v>
      </c>
      <c r="E51" s="4">
        <f t="shared" ref="E51:E114" si="2">C51/$L$4</f>
        <v>4.2011668333333336</v>
      </c>
    </row>
    <row r="52" spans="1:5" x14ac:dyDescent="0.55000000000000004">
      <c r="A52" s="3">
        <v>25.7</v>
      </c>
      <c r="B52" s="3">
        <v>2.1398999999999999</v>
      </c>
      <c r="C52" s="3">
        <v>256.10000000000002</v>
      </c>
      <c r="D52" s="4">
        <f t="shared" si="1"/>
        <v>3.6783783783783768E-3</v>
      </c>
      <c r="E52" s="4">
        <f t="shared" si="2"/>
        <v>4.2683333333333335</v>
      </c>
    </row>
    <row r="53" spans="1:5" x14ac:dyDescent="0.55000000000000004">
      <c r="A53" s="3">
        <v>25.8</v>
      </c>
      <c r="B53" s="3">
        <v>2.1482000000000001</v>
      </c>
      <c r="C53" s="3">
        <v>260.11998999999997</v>
      </c>
      <c r="D53" s="4">
        <f t="shared" si="1"/>
        <v>3.7531531531531555E-3</v>
      </c>
      <c r="E53" s="4">
        <f t="shared" si="2"/>
        <v>4.3353331666666666</v>
      </c>
    </row>
    <row r="54" spans="1:5" x14ac:dyDescent="0.55000000000000004">
      <c r="A54" s="3">
        <v>25.9</v>
      </c>
      <c r="B54" s="3">
        <v>2.1566000000000001</v>
      </c>
      <c r="C54" s="3">
        <v>264.96001000000001</v>
      </c>
      <c r="D54" s="4">
        <f t="shared" si="1"/>
        <v>3.8288288288288314E-3</v>
      </c>
      <c r="E54" s="4">
        <f t="shared" si="2"/>
        <v>4.4160001666666666</v>
      </c>
    </row>
    <row r="55" spans="1:5" x14ac:dyDescent="0.55000000000000004">
      <c r="A55" s="3">
        <v>26</v>
      </c>
      <c r="B55" s="3">
        <v>2.1648999999999998</v>
      </c>
      <c r="C55" s="3">
        <v>269.78998999999999</v>
      </c>
      <c r="D55" s="4">
        <f t="shared" si="1"/>
        <v>3.9036036036036031E-3</v>
      </c>
      <c r="E55" s="4">
        <f t="shared" si="2"/>
        <v>4.496499833333333</v>
      </c>
    </row>
    <row r="56" spans="1:5" x14ac:dyDescent="0.55000000000000004">
      <c r="A56" s="3">
        <v>26.1</v>
      </c>
      <c r="B56" s="3">
        <v>2.1732</v>
      </c>
      <c r="C56" s="3">
        <v>274.62000999999998</v>
      </c>
      <c r="D56" s="4">
        <f t="shared" si="1"/>
        <v>3.9783783783783784E-3</v>
      </c>
      <c r="E56" s="4">
        <f t="shared" si="2"/>
        <v>4.5770001666666662</v>
      </c>
    </row>
    <row r="57" spans="1:5" x14ac:dyDescent="0.55000000000000004">
      <c r="A57" s="3">
        <v>26.2</v>
      </c>
      <c r="B57" s="3">
        <v>2.1816</v>
      </c>
      <c r="C57" s="3">
        <v>278.64999999999998</v>
      </c>
      <c r="D57" s="4">
        <f t="shared" si="1"/>
        <v>4.0540540540540543E-3</v>
      </c>
      <c r="E57" s="4">
        <f t="shared" si="2"/>
        <v>4.6441666666666661</v>
      </c>
    </row>
    <row r="58" spans="1:5" x14ac:dyDescent="0.55000000000000004">
      <c r="A58" s="3">
        <v>26.3</v>
      </c>
      <c r="B58" s="3">
        <v>2.1899000000000002</v>
      </c>
      <c r="C58" s="3">
        <v>283.47998999999999</v>
      </c>
      <c r="D58" s="4">
        <f t="shared" si="1"/>
        <v>4.1288288288288295E-3</v>
      </c>
      <c r="E58" s="4">
        <f t="shared" si="2"/>
        <v>4.7246664999999997</v>
      </c>
    </row>
    <row r="59" spans="1:5" x14ac:dyDescent="0.55000000000000004">
      <c r="A59" s="3">
        <v>26.4</v>
      </c>
      <c r="B59" s="3">
        <v>2.1981999999999999</v>
      </c>
      <c r="C59" s="3">
        <v>288.31</v>
      </c>
      <c r="D59" s="4">
        <f t="shared" si="1"/>
        <v>4.2036036036036048E-3</v>
      </c>
      <c r="E59" s="4">
        <f t="shared" si="2"/>
        <v>4.8051666666666666</v>
      </c>
    </row>
    <row r="60" spans="1:5" x14ac:dyDescent="0.55000000000000004">
      <c r="A60" s="3">
        <v>26.5</v>
      </c>
      <c r="B60" s="3">
        <v>2.2065999999999999</v>
      </c>
      <c r="C60" s="3">
        <v>292.33999999999997</v>
      </c>
      <c r="D60" s="4">
        <f t="shared" si="1"/>
        <v>4.2792792792792807E-3</v>
      </c>
      <c r="E60" s="4">
        <f t="shared" si="2"/>
        <v>4.8723333333333327</v>
      </c>
    </row>
    <row r="61" spans="1:5" x14ac:dyDescent="0.55000000000000004">
      <c r="A61" s="3">
        <v>26.6</v>
      </c>
      <c r="B61" s="3">
        <v>2.2149000000000001</v>
      </c>
      <c r="C61" s="3">
        <v>297.17000999999999</v>
      </c>
      <c r="D61" s="4">
        <f t="shared" si="1"/>
        <v>4.3540540540540559E-3</v>
      </c>
      <c r="E61" s="4">
        <f t="shared" si="2"/>
        <v>4.9528334999999997</v>
      </c>
    </row>
    <row r="62" spans="1:5" x14ac:dyDescent="0.55000000000000004">
      <c r="A62" s="3">
        <v>26.7</v>
      </c>
      <c r="B62" s="3">
        <v>2.2231999999999998</v>
      </c>
      <c r="C62" s="3">
        <v>301.2</v>
      </c>
      <c r="D62" s="4">
        <f t="shared" si="1"/>
        <v>4.4288288288288277E-3</v>
      </c>
      <c r="E62" s="4">
        <f t="shared" si="2"/>
        <v>5.0199999999999996</v>
      </c>
    </row>
    <row r="63" spans="1:5" x14ac:dyDescent="0.55000000000000004">
      <c r="A63" s="3">
        <v>26.8</v>
      </c>
      <c r="B63" s="3">
        <v>2.2315999999999998</v>
      </c>
      <c r="C63" s="3">
        <v>306.02999</v>
      </c>
      <c r="D63" s="4">
        <f t="shared" si="1"/>
        <v>4.5045045045045036E-3</v>
      </c>
      <c r="E63" s="4">
        <f t="shared" si="2"/>
        <v>5.1004998333333331</v>
      </c>
    </row>
    <row r="64" spans="1:5" x14ac:dyDescent="0.55000000000000004">
      <c r="A64" s="3">
        <v>26.9</v>
      </c>
      <c r="B64" s="3">
        <v>2.2399</v>
      </c>
      <c r="C64" s="3">
        <v>310.06000999999998</v>
      </c>
      <c r="D64" s="4">
        <f t="shared" si="1"/>
        <v>4.5792792792792789E-3</v>
      </c>
      <c r="E64" s="4">
        <f t="shared" si="2"/>
        <v>5.1676668333333327</v>
      </c>
    </row>
    <row r="65" spans="1:5" x14ac:dyDescent="0.55000000000000004">
      <c r="A65" s="3">
        <v>27</v>
      </c>
      <c r="B65" s="3">
        <v>2.2482000000000002</v>
      </c>
      <c r="C65" s="3">
        <v>314.08</v>
      </c>
      <c r="D65" s="4">
        <f t="shared" si="1"/>
        <v>4.6540540540540576E-3</v>
      </c>
      <c r="E65" s="4">
        <f t="shared" si="2"/>
        <v>5.2346666666666666</v>
      </c>
    </row>
    <row r="66" spans="1:5" x14ac:dyDescent="0.55000000000000004">
      <c r="A66" s="3">
        <v>27.1</v>
      </c>
      <c r="B66" s="3">
        <v>2.2566000000000002</v>
      </c>
      <c r="C66" s="3">
        <v>318.91001</v>
      </c>
      <c r="D66" s="4">
        <f t="shared" si="1"/>
        <v>4.7297297297297335E-3</v>
      </c>
      <c r="E66" s="4">
        <f t="shared" si="2"/>
        <v>5.3151668333333335</v>
      </c>
    </row>
    <row r="67" spans="1:5" x14ac:dyDescent="0.55000000000000004">
      <c r="A67" s="3">
        <v>27.2</v>
      </c>
      <c r="B67" s="3">
        <v>2.2648999999999999</v>
      </c>
      <c r="C67" s="3">
        <v>322.94</v>
      </c>
      <c r="D67" s="4">
        <f t="shared" si="1"/>
        <v>4.8045045045045053E-3</v>
      </c>
      <c r="E67" s="4">
        <f t="shared" si="2"/>
        <v>5.3823333333333334</v>
      </c>
    </row>
    <row r="68" spans="1:5" x14ac:dyDescent="0.55000000000000004">
      <c r="A68" s="3">
        <v>27.3</v>
      </c>
      <c r="B68" s="3">
        <v>2.2732000000000001</v>
      </c>
      <c r="C68" s="3">
        <v>327.76999000000001</v>
      </c>
      <c r="D68" s="4">
        <f t="shared" ref="D68:D131" si="3">((B68/$L$3))-0.0156</f>
        <v>4.8792792792792805E-3</v>
      </c>
      <c r="E68" s="4">
        <f t="shared" si="2"/>
        <v>5.462833166666667</v>
      </c>
    </row>
    <row r="69" spans="1:5" x14ac:dyDescent="0.55000000000000004">
      <c r="A69" s="3">
        <v>27.4</v>
      </c>
      <c r="B69" s="3">
        <v>2.2814999999999999</v>
      </c>
      <c r="C69" s="3">
        <v>331.80000999999999</v>
      </c>
      <c r="D69" s="4">
        <f t="shared" si="3"/>
        <v>4.9540540540540523E-3</v>
      </c>
      <c r="E69" s="4">
        <f t="shared" si="2"/>
        <v>5.5300001666666665</v>
      </c>
    </row>
    <row r="70" spans="1:5" x14ac:dyDescent="0.55000000000000004">
      <c r="A70" s="3">
        <v>27.5</v>
      </c>
      <c r="B70" s="3">
        <v>2.2898999999999998</v>
      </c>
      <c r="C70" s="3">
        <v>336.63</v>
      </c>
      <c r="D70" s="4">
        <f t="shared" si="3"/>
        <v>5.0297297297297282E-3</v>
      </c>
      <c r="E70" s="4">
        <f t="shared" si="2"/>
        <v>5.6105</v>
      </c>
    </row>
    <row r="71" spans="1:5" x14ac:dyDescent="0.55000000000000004">
      <c r="A71" s="3">
        <v>27.6</v>
      </c>
      <c r="B71" s="3">
        <v>2.2982</v>
      </c>
      <c r="C71" s="3">
        <v>340.65998999999999</v>
      </c>
      <c r="D71" s="4">
        <f t="shared" si="3"/>
        <v>5.1045045045045069E-3</v>
      </c>
      <c r="E71" s="4">
        <f t="shared" si="2"/>
        <v>5.6776664999999999</v>
      </c>
    </row>
    <row r="72" spans="1:5" x14ac:dyDescent="0.55000000000000004">
      <c r="A72" s="3">
        <v>27.7</v>
      </c>
      <c r="B72" s="3">
        <v>2.3066</v>
      </c>
      <c r="C72" s="3">
        <v>344.69000999999997</v>
      </c>
      <c r="D72" s="4">
        <f t="shared" si="3"/>
        <v>5.1801801801801793E-3</v>
      </c>
      <c r="E72" s="4">
        <f t="shared" si="2"/>
        <v>5.7448334999999995</v>
      </c>
    </row>
    <row r="73" spans="1:5" x14ac:dyDescent="0.55000000000000004">
      <c r="A73" s="3">
        <v>27.8</v>
      </c>
      <c r="B73" s="3">
        <v>2.3149000000000002</v>
      </c>
      <c r="C73" s="3">
        <v>348.71</v>
      </c>
      <c r="D73" s="4">
        <f t="shared" si="3"/>
        <v>5.254954954954958E-3</v>
      </c>
      <c r="E73" s="4">
        <f t="shared" si="2"/>
        <v>5.8118333333333334</v>
      </c>
    </row>
    <row r="74" spans="1:5" x14ac:dyDescent="0.55000000000000004">
      <c r="A74" s="3">
        <v>27.9</v>
      </c>
      <c r="B74" s="3">
        <v>2.3231999999999999</v>
      </c>
      <c r="C74" s="3">
        <v>353.53998999999999</v>
      </c>
      <c r="D74" s="4">
        <f t="shared" si="3"/>
        <v>5.3297297297297298E-3</v>
      </c>
      <c r="E74" s="4">
        <f t="shared" si="2"/>
        <v>5.8923331666666661</v>
      </c>
    </row>
    <row r="75" spans="1:5" x14ac:dyDescent="0.55000000000000004">
      <c r="A75" s="3">
        <v>28</v>
      </c>
      <c r="B75" s="3">
        <v>2.3315999999999999</v>
      </c>
      <c r="C75" s="3">
        <v>356.77001000000001</v>
      </c>
      <c r="D75" s="4">
        <f t="shared" si="3"/>
        <v>5.4054054054054057E-3</v>
      </c>
      <c r="E75" s="4">
        <f t="shared" si="2"/>
        <v>5.9461668333333337</v>
      </c>
    </row>
    <row r="76" spans="1:5" x14ac:dyDescent="0.55000000000000004">
      <c r="A76" s="3">
        <v>28.1</v>
      </c>
      <c r="B76" s="3">
        <v>2.3399000000000001</v>
      </c>
      <c r="C76" s="3">
        <v>361.6</v>
      </c>
      <c r="D76" s="4">
        <f t="shared" si="3"/>
        <v>5.480180180180181E-3</v>
      </c>
      <c r="E76" s="4">
        <f t="shared" si="2"/>
        <v>6.0266666666666673</v>
      </c>
    </row>
    <row r="77" spans="1:5" x14ac:dyDescent="0.55000000000000004">
      <c r="A77" s="3">
        <v>28.2</v>
      </c>
      <c r="B77" s="3">
        <v>2.3481999999999998</v>
      </c>
      <c r="C77" s="3">
        <v>365.62000999999998</v>
      </c>
      <c r="D77" s="4">
        <f t="shared" si="3"/>
        <v>5.5549549549549528E-3</v>
      </c>
      <c r="E77" s="4">
        <f t="shared" si="2"/>
        <v>6.0936668333333328</v>
      </c>
    </row>
    <row r="78" spans="1:5" x14ac:dyDescent="0.55000000000000004">
      <c r="A78" s="3">
        <v>28.3</v>
      </c>
      <c r="B78" s="3">
        <v>2.3565</v>
      </c>
      <c r="C78" s="3">
        <v>369.65</v>
      </c>
      <c r="D78" s="4">
        <f t="shared" si="3"/>
        <v>5.6297297297297315E-3</v>
      </c>
      <c r="E78" s="4">
        <f t="shared" si="2"/>
        <v>6.1608333333333327</v>
      </c>
    </row>
    <row r="79" spans="1:5" x14ac:dyDescent="0.55000000000000004">
      <c r="A79" s="3">
        <v>28.4</v>
      </c>
      <c r="B79" s="3">
        <v>2.3649</v>
      </c>
      <c r="C79" s="3">
        <v>373.68</v>
      </c>
      <c r="D79" s="4">
        <f t="shared" si="3"/>
        <v>5.7054054054054074E-3</v>
      </c>
      <c r="E79" s="4">
        <f t="shared" si="2"/>
        <v>6.2279999999999998</v>
      </c>
    </row>
    <row r="80" spans="1:5" x14ac:dyDescent="0.55000000000000004">
      <c r="A80" s="3">
        <v>28.5</v>
      </c>
      <c r="B80" s="3">
        <v>2.3732000000000002</v>
      </c>
      <c r="C80" s="3">
        <v>377.70999</v>
      </c>
      <c r="D80" s="4">
        <f t="shared" si="3"/>
        <v>5.7801801801801826E-3</v>
      </c>
      <c r="E80" s="4">
        <f t="shared" si="2"/>
        <v>6.2951664999999997</v>
      </c>
    </row>
    <row r="81" spans="1:5" x14ac:dyDescent="0.55000000000000004">
      <c r="A81" s="3">
        <v>28.6</v>
      </c>
      <c r="B81" s="3">
        <v>2.3816000000000002</v>
      </c>
      <c r="C81" s="3">
        <v>381.73</v>
      </c>
      <c r="D81" s="4">
        <f t="shared" si="3"/>
        <v>5.8558558558558585E-3</v>
      </c>
      <c r="E81" s="4">
        <f t="shared" si="2"/>
        <v>6.362166666666667</v>
      </c>
    </row>
    <row r="82" spans="1:5" x14ac:dyDescent="0.55000000000000004">
      <c r="A82" s="3">
        <v>28.7</v>
      </c>
      <c r="B82" s="3">
        <v>2.3898999999999999</v>
      </c>
      <c r="C82" s="3">
        <v>385.75999000000002</v>
      </c>
      <c r="D82" s="4">
        <f t="shared" si="3"/>
        <v>5.9306306306306303E-3</v>
      </c>
      <c r="E82" s="4">
        <f t="shared" si="2"/>
        <v>6.4293331666666669</v>
      </c>
    </row>
    <row r="83" spans="1:5" x14ac:dyDescent="0.55000000000000004">
      <c r="A83" s="3">
        <v>28.8</v>
      </c>
      <c r="B83" s="3">
        <v>2.3982000000000001</v>
      </c>
      <c r="C83" s="3">
        <v>389.79001</v>
      </c>
      <c r="D83" s="4">
        <f t="shared" si="3"/>
        <v>6.0054054054054055E-3</v>
      </c>
      <c r="E83" s="4">
        <f t="shared" si="2"/>
        <v>6.4965001666666664</v>
      </c>
    </row>
    <row r="84" spans="1:5" x14ac:dyDescent="0.55000000000000004">
      <c r="A84" s="3">
        <v>28.9</v>
      </c>
      <c r="B84" s="3">
        <v>2.4066000000000001</v>
      </c>
      <c r="C84" s="3">
        <v>393.81</v>
      </c>
      <c r="D84" s="4">
        <f t="shared" si="3"/>
        <v>6.0810810810810814E-3</v>
      </c>
      <c r="E84" s="4">
        <f t="shared" si="2"/>
        <v>6.5635000000000003</v>
      </c>
    </row>
    <row r="85" spans="1:5" x14ac:dyDescent="0.55000000000000004">
      <c r="A85" s="3">
        <v>29</v>
      </c>
      <c r="B85" s="3">
        <v>2.4148999999999998</v>
      </c>
      <c r="C85" s="3">
        <v>397.83999</v>
      </c>
      <c r="D85" s="4">
        <f t="shared" si="3"/>
        <v>6.1558558558558567E-3</v>
      </c>
      <c r="E85" s="4">
        <f t="shared" si="2"/>
        <v>6.6306665000000002</v>
      </c>
    </row>
    <row r="86" spans="1:5" x14ac:dyDescent="0.55000000000000004">
      <c r="A86" s="3">
        <v>29.1</v>
      </c>
      <c r="B86" s="3">
        <v>2.4232</v>
      </c>
      <c r="C86" s="3">
        <v>401.87000999999998</v>
      </c>
      <c r="D86" s="4">
        <f t="shared" si="3"/>
        <v>6.2306306306306319E-3</v>
      </c>
      <c r="E86" s="4">
        <f t="shared" si="2"/>
        <v>6.6978334999999998</v>
      </c>
    </row>
    <row r="87" spans="1:5" x14ac:dyDescent="0.55000000000000004">
      <c r="A87" s="3">
        <v>29.2</v>
      </c>
      <c r="B87" s="3">
        <v>2.4315000000000002</v>
      </c>
      <c r="C87" s="3">
        <v>405.89</v>
      </c>
      <c r="D87" s="4">
        <f t="shared" si="3"/>
        <v>6.3054054054054072E-3</v>
      </c>
      <c r="E87" s="4">
        <f t="shared" si="2"/>
        <v>6.7648333333333328</v>
      </c>
    </row>
    <row r="88" spans="1:5" x14ac:dyDescent="0.55000000000000004">
      <c r="A88" s="3">
        <v>29.3</v>
      </c>
      <c r="B88" s="3">
        <v>2.4399000000000002</v>
      </c>
      <c r="C88" s="3">
        <v>409.10998999999998</v>
      </c>
      <c r="D88" s="4">
        <f t="shared" si="3"/>
        <v>6.3810810810810831E-3</v>
      </c>
      <c r="E88" s="4">
        <f t="shared" si="2"/>
        <v>6.8184998333333331</v>
      </c>
    </row>
    <row r="89" spans="1:5" x14ac:dyDescent="0.55000000000000004">
      <c r="A89" s="3">
        <v>29.4</v>
      </c>
      <c r="B89" s="3">
        <v>2.4481999999999999</v>
      </c>
      <c r="C89" s="3">
        <v>413.14001000000002</v>
      </c>
      <c r="D89" s="4">
        <f t="shared" si="3"/>
        <v>6.4558558558558549E-3</v>
      </c>
      <c r="E89" s="4">
        <f t="shared" si="2"/>
        <v>6.8856668333333335</v>
      </c>
    </row>
    <row r="90" spans="1:5" x14ac:dyDescent="0.55000000000000004">
      <c r="A90" s="3">
        <v>29.5</v>
      </c>
      <c r="B90" s="3">
        <v>2.4565999999999999</v>
      </c>
      <c r="C90" s="3">
        <v>416.36</v>
      </c>
      <c r="D90" s="4">
        <f t="shared" si="3"/>
        <v>6.5315315315315307E-3</v>
      </c>
      <c r="E90" s="4">
        <f t="shared" si="2"/>
        <v>6.9393333333333338</v>
      </c>
    </row>
    <row r="91" spans="1:5" x14ac:dyDescent="0.55000000000000004">
      <c r="A91" s="3">
        <v>29.6</v>
      </c>
      <c r="B91" s="3">
        <v>2.4649000000000001</v>
      </c>
      <c r="C91" s="3">
        <v>420.38999000000001</v>
      </c>
      <c r="D91" s="4">
        <f t="shared" si="3"/>
        <v>6.6063063063063095E-3</v>
      </c>
      <c r="E91" s="4">
        <f t="shared" si="2"/>
        <v>7.0064998333333337</v>
      </c>
    </row>
    <row r="92" spans="1:5" x14ac:dyDescent="0.55000000000000004">
      <c r="A92" s="3">
        <v>29.7</v>
      </c>
      <c r="B92" s="3">
        <v>2.4731999999999998</v>
      </c>
      <c r="C92" s="3">
        <v>424.41998999999998</v>
      </c>
      <c r="D92" s="4">
        <f t="shared" si="3"/>
        <v>6.6810810810810813E-3</v>
      </c>
      <c r="E92" s="4">
        <f t="shared" si="2"/>
        <v>7.0736664999999999</v>
      </c>
    </row>
    <row r="93" spans="1:5" x14ac:dyDescent="0.55000000000000004">
      <c r="A93" s="3">
        <v>29.8</v>
      </c>
      <c r="B93" s="3">
        <v>2.4815999999999998</v>
      </c>
      <c r="C93" s="3">
        <v>427.64001000000002</v>
      </c>
      <c r="D93" s="4">
        <f t="shared" si="3"/>
        <v>6.7567567567567571E-3</v>
      </c>
      <c r="E93" s="4">
        <f t="shared" si="2"/>
        <v>7.1273335000000007</v>
      </c>
    </row>
    <row r="94" spans="1:5" x14ac:dyDescent="0.55000000000000004">
      <c r="A94" s="3">
        <v>29.9</v>
      </c>
      <c r="B94" s="3">
        <v>2.4899</v>
      </c>
      <c r="C94" s="3">
        <v>431.65998999999999</v>
      </c>
      <c r="D94" s="4">
        <f t="shared" si="3"/>
        <v>6.8315315315315324E-3</v>
      </c>
      <c r="E94" s="4">
        <f t="shared" si="2"/>
        <v>7.1943331666666666</v>
      </c>
    </row>
    <row r="95" spans="1:5" x14ac:dyDescent="0.55000000000000004">
      <c r="A95" s="3">
        <v>30</v>
      </c>
      <c r="B95" s="3">
        <v>2.4982000000000002</v>
      </c>
      <c r="C95" s="3">
        <v>434.88999000000001</v>
      </c>
      <c r="D95" s="4">
        <f t="shared" si="3"/>
        <v>6.9063063063063077E-3</v>
      </c>
      <c r="E95" s="4">
        <f t="shared" si="2"/>
        <v>7.2481665</v>
      </c>
    </row>
    <row r="96" spans="1:5" x14ac:dyDescent="0.55000000000000004">
      <c r="A96" s="3">
        <v>30.1</v>
      </c>
      <c r="B96" s="3">
        <v>2.5065</v>
      </c>
      <c r="C96" s="3">
        <v>438.91001</v>
      </c>
      <c r="D96" s="4">
        <f t="shared" si="3"/>
        <v>6.9810810810810829E-3</v>
      </c>
      <c r="E96" s="4">
        <f t="shared" si="2"/>
        <v>7.3151668333333335</v>
      </c>
    </row>
    <row r="97" spans="1:5" x14ac:dyDescent="0.55000000000000004">
      <c r="A97" s="3">
        <v>30.2</v>
      </c>
      <c r="B97" s="3">
        <v>2.5148999999999999</v>
      </c>
      <c r="C97" s="3">
        <v>442.13</v>
      </c>
      <c r="D97" s="4">
        <f t="shared" si="3"/>
        <v>7.0567567567567553E-3</v>
      </c>
      <c r="E97" s="4">
        <f t="shared" si="2"/>
        <v>7.3688333333333329</v>
      </c>
    </row>
    <row r="98" spans="1:5" x14ac:dyDescent="0.55000000000000004">
      <c r="A98" s="3">
        <v>30.3</v>
      </c>
      <c r="B98" s="3">
        <v>2.5232000000000001</v>
      </c>
      <c r="C98" s="3">
        <v>446.15998999999999</v>
      </c>
      <c r="D98" s="4">
        <f t="shared" si="3"/>
        <v>7.131531531531534E-3</v>
      </c>
      <c r="E98" s="4">
        <f t="shared" si="2"/>
        <v>7.4359998333333328</v>
      </c>
    </row>
    <row r="99" spans="1:5" x14ac:dyDescent="0.55000000000000004">
      <c r="A99" s="3">
        <v>30.4</v>
      </c>
      <c r="B99" s="3">
        <v>2.5316000000000001</v>
      </c>
      <c r="C99" s="3">
        <v>449.38001000000003</v>
      </c>
      <c r="D99" s="4">
        <f t="shared" si="3"/>
        <v>7.2072072072072099E-3</v>
      </c>
      <c r="E99" s="4">
        <f t="shared" si="2"/>
        <v>7.4896668333333336</v>
      </c>
    </row>
    <row r="100" spans="1:5" x14ac:dyDescent="0.55000000000000004">
      <c r="A100" s="3">
        <v>30.5</v>
      </c>
      <c r="B100" s="3">
        <v>2.5398999999999998</v>
      </c>
      <c r="C100" s="3">
        <v>452.6</v>
      </c>
      <c r="D100" s="4">
        <f t="shared" si="3"/>
        <v>7.2819819819819817E-3</v>
      </c>
      <c r="E100" s="4">
        <f t="shared" si="2"/>
        <v>7.5433333333333339</v>
      </c>
    </row>
    <row r="101" spans="1:5" x14ac:dyDescent="0.55000000000000004">
      <c r="A101" s="3">
        <v>30.6</v>
      </c>
      <c r="B101" s="3">
        <v>2.5482</v>
      </c>
      <c r="C101" s="3">
        <v>456.62999000000002</v>
      </c>
      <c r="D101" s="4">
        <f t="shared" si="3"/>
        <v>7.356756756756757E-3</v>
      </c>
      <c r="E101" s="4">
        <f t="shared" si="2"/>
        <v>7.6104998333333338</v>
      </c>
    </row>
    <row r="102" spans="1:5" x14ac:dyDescent="0.55000000000000004">
      <c r="A102" s="3">
        <v>30.7</v>
      </c>
      <c r="B102" s="3">
        <v>2.5566</v>
      </c>
      <c r="C102" s="3">
        <v>459.85001</v>
      </c>
      <c r="D102" s="4">
        <f t="shared" si="3"/>
        <v>7.4324324324324328E-3</v>
      </c>
      <c r="E102" s="4">
        <f t="shared" si="2"/>
        <v>7.6641668333333337</v>
      </c>
    </row>
    <row r="103" spans="1:5" x14ac:dyDescent="0.55000000000000004">
      <c r="A103" s="3">
        <v>30.8</v>
      </c>
      <c r="B103" s="3">
        <v>2.5649000000000002</v>
      </c>
      <c r="C103" s="3">
        <v>463.07</v>
      </c>
      <c r="D103" s="4">
        <f t="shared" si="3"/>
        <v>7.5072072072072081E-3</v>
      </c>
      <c r="E103" s="4">
        <f t="shared" si="2"/>
        <v>7.7178333333333331</v>
      </c>
    </row>
    <row r="104" spans="1:5" x14ac:dyDescent="0.55000000000000004">
      <c r="A104" s="3">
        <v>30.9</v>
      </c>
      <c r="B104" s="3">
        <v>2.5731999999999999</v>
      </c>
      <c r="C104" s="3">
        <v>467.09998999999999</v>
      </c>
      <c r="D104" s="4">
        <f t="shared" si="3"/>
        <v>7.5819819819819834E-3</v>
      </c>
      <c r="E104" s="4">
        <f t="shared" si="2"/>
        <v>7.784999833333333</v>
      </c>
    </row>
    <row r="105" spans="1:5" x14ac:dyDescent="0.55000000000000004">
      <c r="A105" s="3">
        <v>31</v>
      </c>
      <c r="B105" s="3">
        <v>2.5815000000000001</v>
      </c>
      <c r="C105" s="3">
        <v>470.31999000000002</v>
      </c>
      <c r="D105" s="4">
        <f t="shared" si="3"/>
        <v>7.6567567567567586E-3</v>
      </c>
      <c r="E105" s="4">
        <f t="shared" si="2"/>
        <v>7.8386665000000004</v>
      </c>
    </row>
    <row r="106" spans="1:5" x14ac:dyDescent="0.55000000000000004">
      <c r="A106" s="3">
        <v>31.1</v>
      </c>
      <c r="B106" s="3">
        <v>2.5899000000000001</v>
      </c>
      <c r="C106" s="3">
        <v>473.53998000000001</v>
      </c>
      <c r="D106" s="4">
        <f t="shared" si="3"/>
        <v>7.7324324324324345E-3</v>
      </c>
      <c r="E106" s="4">
        <f t="shared" si="2"/>
        <v>7.8923329999999998</v>
      </c>
    </row>
    <row r="107" spans="1:5" x14ac:dyDescent="0.55000000000000004">
      <c r="A107" s="3">
        <v>31.2</v>
      </c>
      <c r="B107" s="3">
        <v>2.5981999999999998</v>
      </c>
      <c r="C107" s="3">
        <v>476.76002999999997</v>
      </c>
      <c r="D107" s="4">
        <f t="shared" si="3"/>
        <v>7.8072072072072063E-3</v>
      </c>
      <c r="E107" s="4">
        <f t="shared" si="2"/>
        <v>7.9460004999999994</v>
      </c>
    </row>
    <row r="108" spans="1:5" x14ac:dyDescent="0.55000000000000004">
      <c r="A108" s="3">
        <v>31.3</v>
      </c>
      <c r="B108" s="3">
        <v>2.6065999999999998</v>
      </c>
      <c r="C108" s="3">
        <v>479.98002000000002</v>
      </c>
      <c r="D108" s="4">
        <f t="shared" si="3"/>
        <v>7.8828828828828822E-3</v>
      </c>
      <c r="E108" s="4">
        <f t="shared" si="2"/>
        <v>7.9996670000000005</v>
      </c>
    </row>
    <row r="109" spans="1:5" x14ac:dyDescent="0.55000000000000004">
      <c r="A109" s="3">
        <v>31.4</v>
      </c>
      <c r="B109" s="3">
        <v>2.6149</v>
      </c>
      <c r="C109" s="3">
        <v>483.21001000000001</v>
      </c>
      <c r="D109" s="4">
        <f t="shared" si="3"/>
        <v>7.9576576576576574E-3</v>
      </c>
      <c r="E109" s="4">
        <f t="shared" si="2"/>
        <v>8.0535001666666677</v>
      </c>
    </row>
    <row r="110" spans="1:5" x14ac:dyDescent="0.55000000000000004">
      <c r="A110" s="3">
        <v>31.5</v>
      </c>
      <c r="B110" s="3">
        <v>2.6232000000000002</v>
      </c>
      <c r="C110" s="3">
        <v>486.43</v>
      </c>
      <c r="D110" s="4">
        <f t="shared" si="3"/>
        <v>8.0324324324324362E-3</v>
      </c>
      <c r="E110" s="4">
        <f t="shared" si="2"/>
        <v>8.1071666666666662</v>
      </c>
    </row>
    <row r="111" spans="1:5" x14ac:dyDescent="0.55000000000000004">
      <c r="A111" s="3">
        <v>31.6</v>
      </c>
      <c r="B111" s="3">
        <v>2.6316000000000002</v>
      </c>
      <c r="C111" s="3">
        <v>489.65</v>
      </c>
      <c r="D111" s="4">
        <f t="shared" si="3"/>
        <v>8.1081081081081086E-3</v>
      </c>
      <c r="E111" s="4">
        <f t="shared" si="2"/>
        <v>8.1608333333333327</v>
      </c>
    </row>
    <row r="112" spans="1:5" x14ac:dyDescent="0.55000000000000004">
      <c r="A112" s="3">
        <v>31.7</v>
      </c>
      <c r="B112" s="3">
        <v>2.6398999999999999</v>
      </c>
      <c r="C112" s="3">
        <v>492.07002</v>
      </c>
      <c r="D112" s="4">
        <f t="shared" si="3"/>
        <v>8.1828828828828838E-3</v>
      </c>
      <c r="E112" s="4">
        <f t="shared" si="2"/>
        <v>8.2011669999999999</v>
      </c>
    </row>
    <row r="113" spans="1:5" x14ac:dyDescent="0.55000000000000004">
      <c r="A113" s="3">
        <v>31.8</v>
      </c>
      <c r="B113" s="3">
        <v>2.6482000000000001</v>
      </c>
      <c r="C113" s="3">
        <v>495.29001</v>
      </c>
      <c r="D113" s="4">
        <f t="shared" si="3"/>
        <v>8.2576576576576591E-3</v>
      </c>
      <c r="E113" s="4">
        <f t="shared" si="2"/>
        <v>8.2548335000000002</v>
      </c>
    </row>
    <row r="114" spans="1:5" x14ac:dyDescent="0.55000000000000004">
      <c r="A114" s="3">
        <v>31.9</v>
      </c>
      <c r="B114" s="3">
        <v>2.6564999999999999</v>
      </c>
      <c r="C114" s="3">
        <v>497.69997999999998</v>
      </c>
      <c r="D114" s="4">
        <f t="shared" si="3"/>
        <v>8.3324324324324309E-3</v>
      </c>
      <c r="E114" s="4">
        <f t="shared" si="2"/>
        <v>8.2949996666666657</v>
      </c>
    </row>
    <row r="115" spans="1:5" x14ac:dyDescent="0.55000000000000004">
      <c r="A115" s="3">
        <v>32</v>
      </c>
      <c r="B115" s="3">
        <v>2.6648999999999998</v>
      </c>
      <c r="C115" s="3">
        <v>500.92002000000002</v>
      </c>
      <c r="D115" s="4">
        <f t="shared" si="3"/>
        <v>8.4081081081081067E-3</v>
      </c>
      <c r="E115" s="4">
        <f t="shared" ref="E115:E156" si="4">C115/$L$4</f>
        <v>8.3486670000000007</v>
      </c>
    </row>
    <row r="116" spans="1:5" x14ac:dyDescent="0.55000000000000004">
      <c r="A116" s="3">
        <v>32.1</v>
      </c>
      <c r="B116" s="3">
        <v>2.6732</v>
      </c>
      <c r="C116" s="3">
        <v>504.15001999999998</v>
      </c>
      <c r="D116" s="4">
        <f t="shared" si="3"/>
        <v>8.4828828828828855E-3</v>
      </c>
      <c r="E116" s="4">
        <f t="shared" si="4"/>
        <v>8.4025003333333323</v>
      </c>
    </row>
    <row r="117" spans="1:5" x14ac:dyDescent="0.55000000000000004">
      <c r="A117" s="3">
        <v>32.200000000000003</v>
      </c>
      <c r="B117" s="3">
        <v>2.6816</v>
      </c>
      <c r="C117" s="3">
        <v>506.55998</v>
      </c>
      <c r="D117" s="4">
        <f t="shared" si="3"/>
        <v>8.5585585585585579E-3</v>
      </c>
      <c r="E117" s="4">
        <f t="shared" si="4"/>
        <v>8.4426663333333334</v>
      </c>
    </row>
    <row r="118" spans="1:5" x14ac:dyDescent="0.55000000000000004">
      <c r="A118" s="3">
        <v>32.299999999999997</v>
      </c>
      <c r="B118" s="3">
        <v>2.6899000000000002</v>
      </c>
      <c r="C118" s="3">
        <v>509.77996999999999</v>
      </c>
      <c r="D118" s="4">
        <f t="shared" si="3"/>
        <v>8.6333333333333366E-3</v>
      </c>
      <c r="E118" s="4">
        <f t="shared" si="4"/>
        <v>8.4963328333333337</v>
      </c>
    </row>
    <row r="119" spans="1:5" x14ac:dyDescent="0.55000000000000004">
      <c r="A119" s="3">
        <v>32.4</v>
      </c>
      <c r="B119" s="3">
        <v>2.6981999999999999</v>
      </c>
      <c r="C119" s="3">
        <v>512.20000000000005</v>
      </c>
      <c r="D119" s="4">
        <f t="shared" si="3"/>
        <v>8.7081081081081084E-3</v>
      </c>
      <c r="E119" s="4">
        <f t="shared" si="4"/>
        <v>8.5366666666666671</v>
      </c>
    </row>
    <row r="120" spans="1:5" x14ac:dyDescent="0.55000000000000004">
      <c r="A120" s="3">
        <v>32.5</v>
      </c>
      <c r="B120" s="3">
        <v>2.7065999999999999</v>
      </c>
      <c r="C120" s="3">
        <v>514.61001999999996</v>
      </c>
      <c r="D120" s="4">
        <f t="shared" si="3"/>
        <v>8.7837837837837843E-3</v>
      </c>
      <c r="E120" s="4">
        <f t="shared" si="4"/>
        <v>8.5768336666666656</v>
      </c>
    </row>
    <row r="121" spans="1:5" x14ac:dyDescent="0.55000000000000004">
      <c r="A121" s="3">
        <v>32.6</v>
      </c>
      <c r="B121" s="3">
        <v>2.7149000000000001</v>
      </c>
      <c r="C121" s="3">
        <v>517.02999</v>
      </c>
      <c r="D121" s="4">
        <f t="shared" si="3"/>
        <v>8.8585585585585595E-3</v>
      </c>
      <c r="E121" s="4">
        <f t="shared" si="4"/>
        <v>8.6171664999999997</v>
      </c>
    </row>
    <row r="122" spans="1:5" x14ac:dyDescent="0.55000000000000004">
      <c r="A122" s="3">
        <v>32.700000000000003</v>
      </c>
      <c r="B122" s="3">
        <v>2.7231999999999998</v>
      </c>
      <c r="C122" s="3">
        <v>519.45001000000002</v>
      </c>
      <c r="D122" s="4">
        <f t="shared" si="3"/>
        <v>8.9333333333333313E-3</v>
      </c>
      <c r="E122" s="4">
        <f t="shared" si="4"/>
        <v>8.6575001666666669</v>
      </c>
    </row>
    <row r="123" spans="1:5" x14ac:dyDescent="0.55000000000000004">
      <c r="A123" s="3">
        <v>32.799999999999997</v>
      </c>
      <c r="B123" s="3">
        <v>2.7315</v>
      </c>
      <c r="C123" s="3">
        <v>521.85996999999998</v>
      </c>
      <c r="D123" s="4">
        <f t="shared" si="3"/>
        <v>9.0081081081081101E-3</v>
      </c>
      <c r="E123" s="4">
        <f t="shared" si="4"/>
        <v>8.6976661666666661</v>
      </c>
    </row>
    <row r="124" spans="1:5" x14ac:dyDescent="0.55000000000000004">
      <c r="A124" s="3">
        <v>32.9</v>
      </c>
      <c r="B124" s="3">
        <v>2.7399</v>
      </c>
      <c r="C124" s="3">
        <v>524.28</v>
      </c>
      <c r="D124" s="4">
        <f t="shared" si="3"/>
        <v>9.0837837837837859E-3</v>
      </c>
      <c r="E124" s="4">
        <f t="shared" si="4"/>
        <v>8.7379999999999995</v>
      </c>
    </row>
    <row r="125" spans="1:5" x14ac:dyDescent="0.55000000000000004">
      <c r="A125" s="3">
        <v>33</v>
      </c>
      <c r="B125" s="3">
        <v>2.7482000000000002</v>
      </c>
      <c r="C125" s="3">
        <v>526.70001999999999</v>
      </c>
      <c r="D125" s="4">
        <f t="shared" si="3"/>
        <v>9.1585585585585612E-3</v>
      </c>
      <c r="E125" s="4">
        <f t="shared" si="4"/>
        <v>8.7783336666666667</v>
      </c>
    </row>
    <row r="126" spans="1:5" x14ac:dyDescent="0.55000000000000004">
      <c r="A126" s="3">
        <v>33.1</v>
      </c>
      <c r="B126" s="3">
        <v>2.7566000000000002</v>
      </c>
      <c r="C126" s="3">
        <v>528.31002000000001</v>
      </c>
      <c r="D126" s="4">
        <f t="shared" si="3"/>
        <v>9.2342342342342371E-3</v>
      </c>
      <c r="E126" s="4">
        <f t="shared" si="4"/>
        <v>8.8051670000000009</v>
      </c>
    </row>
    <row r="127" spans="1:5" x14ac:dyDescent="0.55000000000000004">
      <c r="A127" s="3">
        <v>33.200000000000003</v>
      </c>
      <c r="B127" s="3">
        <v>2.7648999999999999</v>
      </c>
      <c r="C127" s="3">
        <v>531.53000999999995</v>
      </c>
      <c r="D127" s="4">
        <f t="shared" si="3"/>
        <v>9.3090090090090089E-3</v>
      </c>
      <c r="E127" s="4">
        <f t="shared" si="4"/>
        <v>8.8588334999999994</v>
      </c>
    </row>
    <row r="128" spans="1:5" x14ac:dyDescent="0.55000000000000004">
      <c r="A128" s="3">
        <v>33.299999999999997</v>
      </c>
      <c r="B128" s="3">
        <v>2.7732000000000001</v>
      </c>
      <c r="C128" s="3">
        <v>533.14</v>
      </c>
      <c r="D128" s="4">
        <f t="shared" si="3"/>
        <v>9.3837837837837841E-3</v>
      </c>
      <c r="E128" s="4">
        <f t="shared" si="4"/>
        <v>8.8856666666666673</v>
      </c>
    </row>
    <row r="129" spans="1:5" x14ac:dyDescent="0.55000000000000004">
      <c r="A129" s="3">
        <v>33.4</v>
      </c>
      <c r="B129" s="3">
        <v>2.7816000000000001</v>
      </c>
      <c r="C129" s="3">
        <v>535.55002000000002</v>
      </c>
      <c r="D129" s="4">
        <f t="shared" si="3"/>
        <v>9.45945945945946E-3</v>
      </c>
      <c r="E129" s="4">
        <f t="shared" si="4"/>
        <v>8.9258336666666676</v>
      </c>
    </row>
    <row r="130" spans="1:5" x14ac:dyDescent="0.55000000000000004">
      <c r="A130" s="3">
        <v>33.5</v>
      </c>
      <c r="B130" s="3">
        <v>2.7898999999999998</v>
      </c>
      <c r="C130" s="3">
        <v>537.16002000000003</v>
      </c>
      <c r="D130" s="4">
        <f t="shared" si="3"/>
        <v>9.5342342342342318E-3</v>
      </c>
      <c r="E130" s="4">
        <f t="shared" si="4"/>
        <v>8.9526669999999999</v>
      </c>
    </row>
    <row r="131" spans="1:5" x14ac:dyDescent="0.55000000000000004">
      <c r="A131" s="3">
        <v>33.6</v>
      </c>
      <c r="B131" s="3">
        <v>2.7982</v>
      </c>
      <c r="C131" s="3">
        <v>539.57998999999995</v>
      </c>
      <c r="D131" s="4">
        <f t="shared" si="3"/>
        <v>9.6090090090090105E-3</v>
      </c>
      <c r="E131" s="4">
        <f t="shared" si="4"/>
        <v>8.9929998333333323</v>
      </c>
    </row>
    <row r="132" spans="1:5" x14ac:dyDescent="0.55000000000000004">
      <c r="A132" s="3">
        <v>33.700000000000003</v>
      </c>
      <c r="B132" s="3">
        <v>2.8065000000000002</v>
      </c>
      <c r="C132" s="3">
        <v>541.18997999999999</v>
      </c>
      <c r="D132" s="4">
        <f t="shared" ref="D132:D156" si="5">((B132/$L$3))-0.0156</f>
        <v>9.6837837837837858E-3</v>
      </c>
      <c r="E132" s="4">
        <f t="shared" si="4"/>
        <v>9.0198330000000002</v>
      </c>
    </row>
    <row r="133" spans="1:5" x14ac:dyDescent="0.55000000000000004">
      <c r="A133" s="3">
        <v>33.799999999999997</v>
      </c>
      <c r="B133" s="3">
        <v>2.8149000000000002</v>
      </c>
      <c r="C133" s="3">
        <v>542.79998000000001</v>
      </c>
      <c r="D133" s="4">
        <f t="shared" si="5"/>
        <v>9.7594594594594616E-3</v>
      </c>
      <c r="E133" s="4">
        <f t="shared" si="4"/>
        <v>9.0466663333333326</v>
      </c>
    </row>
    <row r="134" spans="1:5" x14ac:dyDescent="0.55000000000000004">
      <c r="A134" s="3">
        <v>33.9</v>
      </c>
      <c r="B134" s="3">
        <v>2.8231999999999999</v>
      </c>
      <c r="C134" s="3">
        <v>544.40998000000002</v>
      </c>
      <c r="D134" s="4">
        <f t="shared" si="5"/>
        <v>9.8342342342342334E-3</v>
      </c>
      <c r="E134" s="4">
        <f t="shared" si="4"/>
        <v>9.0734996666666667</v>
      </c>
    </row>
    <row r="135" spans="1:5" x14ac:dyDescent="0.55000000000000004">
      <c r="A135" s="3">
        <v>34</v>
      </c>
      <c r="B135" s="3">
        <v>2.8315999999999999</v>
      </c>
      <c r="C135" s="3">
        <v>546.02003000000002</v>
      </c>
      <c r="D135" s="4">
        <f t="shared" si="5"/>
        <v>9.9099099099099093E-3</v>
      </c>
      <c r="E135" s="4">
        <f t="shared" si="4"/>
        <v>9.1003338333333339</v>
      </c>
    </row>
    <row r="136" spans="1:5" x14ac:dyDescent="0.55000000000000004">
      <c r="A136" s="3">
        <v>34.1</v>
      </c>
      <c r="B136" s="3">
        <v>2.8399000000000001</v>
      </c>
      <c r="C136" s="3">
        <v>547.63001999999994</v>
      </c>
      <c r="D136" s="4">
        <f t="shared" si="5"/>
        <v>9.9846846846846846E-3</v>
      </c>
      <c r="E136" s="4">
        <f t="shared" si="4"/>
        <v>9.1271669999999983</v>
      </c>
    </row>
    <row r="137" spans="1:5" x14ac:dyDescent="0.55000000000000004">
      <c r="A137" s="3">
        <v>34.200000000000003</v>
      </c>
      <c r="B137" s="3">
        <v>2.8481999999999998</v>
      </c>
      <c r="C137" s="3">
        <v>549.25001999999995</v>
      </c>
      <c r="D137" s="4">
        <f t="shared" si="5"/>
        <v>1.005945945945946E-2</v>
      </c>
      <c r="E137" s="4">
        <f t="shared" si="4"/>
        <v>9.1541669999999993</v>
      </c>
    </row>
    <row r="138" spans="1:5" x14ac:dyDescent="0.55000000000000004">
      <c r="A138" s="3">
        <v>34.299999999999997</v>
      </c>
      <c r="B138" s="3">
        <v>2.8565999999999998</v>
      </c>
      <c r="C138" s="3">
        <v>550.04998999999998</v>
      </c>
      <c r="D138" s="4">
        <f t="shared" si="5"/>
        <v>1.0135135135135136E-2</v>
      </c>
      <c r="E138" s="4">
        <f t="shared" si="4"/>
        <v>9.1674998333333324</v>
      </c>
    </row>
    <row r="139" spans="1:5" x14ac:dyDescent="0.55000000000000004">
      <c r="A139" s="3">
        <v>34.4</v>
      </c>
      <c r="B139" s="3">
        <v>2.8649</v>
      </c>
      <c r="C139" s="3">
        <v>551.65998999999999</v>
      </c>
      <c r="D139" s="4">
        <f t="shared" si="5"/>
        <v>1.0209909909909911E-2</v>
      </c>
      <c r="E139" s="4">
        <f t="shared" si="4"/>
        <v>9.1943331666666666</v>
      </c>
    </row>
    <row r="140" spans="1:5" x14ac:dyDescent="0.55000000000000004">
      <c r="A140" s="3">
        <v>34.5</v>
      </c>
      <c r="B140" s="3">
        <v>2.8732000000000002</v>
      </c>
      <c r="C140" s="3">
        <v>553.26998000000003</v>
      </c>
      <c r="D140" s="4">
        <f t="shared" si="5"/>
        <v>1.0284684684684686E-2</v>
      </c>
      <c r="E140" s="4">
        <f t="shared" si="4"/>
        <v>9.2211663333333345</v>
      </c>
    </row>
    <row r="141" spans="1:5" x14ac:dyDescent="0.55000000000000004">
      <c r="A141" s="3">
        <v>34.6</v>
      </c>
      <c r="B141" s="3">
        <v>2.8815</v>
      </c>
      <c r="C141" s="3">
        <v>554.08001000000002</v>
      </c>
      <c r="D141" s="4">
        <f t="shared" si="5"/>
        <v>1.0359459459459458E-2</v>
      </c>
      <c r="E141" s="4">
        <f t="shared" si="4"/>
        <v>9.2346668333333337</v>
      </c>
    </row>
    <row r="142" spans="1:5" x14ac:dyDescent="0.55000000000000004">
      <c r="A142" s="3">
        <v>34.700000000000003</v>
      </c>
      <c r="B142" s="3">
        <v>2.8898999999999999</v>
      </c>
      <c r="C142" s="3">
        <v>554.87998000000005</v>
      </c>
      <c r="D142" s="4">
        <f t="shared" si="5"/>
        <v>1.0435135135135134E-2</v>
      </c>
      <c r="E142" s="4">
        <f t="shared" si="4"/>
        <v>9.2479996666666668</v>
      </c>
    </row>
    <row r="143" spans="1:5" x14ac:dyDescent="0.55000000000000004">
      <c r="A143" s="3">
        <v>34.799999999999997</v>
      </c>
      <c r="B143" s="3">
        <v>2.8982000000000001</v>
      </c>
      <c r="C143" s="3">
        <v>555.69001000000003</v>
      </c>
      <c r="D143" s="4">
        <f t="shared" si="5"/>
        <v>1.0509909909909913E-2</v>
      </c>
      <c r="E143" s="4">
        <f t="shared" si="4"/>
        <v>9.2615001666666679</v>
      </c>
    </row>
    <row r="144" spans="1:5" x14ac:dyDescent="0.55000000000000004">
      <c r="A144" s="3">
        <v>34.9</v>
      </c>
      <c r="B144" s="3">
        <v>2.9066000000000001</v>
      </c>
      <c r="C144" s="3">
        <v>556.48996999999997</v>
      </c>
      <c r="D144" s="4">
        <f t="shared" si="5"/>
        <v>1.0585585585585588E-2</v>
      </c>
      <c r="E144" s="4">
        <f t="shared" si="4"/>
        <v>9.274832833333333</v>
      </c>
    </row>
    <row r="145" spans="1:5" x14ac:dyDescent="0.55000000000000004">
      <c r="A145" s="3">
        <v>35</v>
      </c>
      <c r="B145" s="3">
        <v>2.9148999999999998</v>
      </c>
      <c r="C145" s="3">
        <v>556.48996999999997</v>
      </c>
      <c r="D145" s="4">
        <f t="shared" si="5"/>
        <v>1.066036036036036E-2</v>
      </c>
      <c r="E145" s="4">
        <f t="shared" si="4"/>
        <v>9.274832833333333</v>
      </c>
    </row>
    <row r="146" spans="1:5" x14ac:dyDescent="0.55000000000000004">
      <c r="A146" s="3">
        <v>35.1</v>
      </c>
      <c r="B146" s="3">
        <v>2.9232</v>
      </c>
      <c r="C146" s="3">
        <v>557.29999999999995</v>
      </c>
      <c r="D146" s="4">
        <f t="shared" si="5"/>
        <v>1.0735135135135136E-2</v>
      </c>
      <c r="E146" s="4">
        <f t="shared" si="4"/>
        <v>9.2883333333333322</v>
      </c>
    </row>
    <row r="147" spans="1:5" x14ac:dyDescent="0.55000000000000004">
      <c r="A147" s="3">
        <v>35.200000000000003</v>
      </c>
      <c r="B147" s="3">
        <v>2.9316</v>
      </c>
      <c r="C147" s="3">
        <v>557.29999999999995</v>
      </c>
      <c r="D147" s="4">
        <f t="shared" si="5"/>
        <v>1.0810810810810811E-2</v>
      </c>
      <c r="E147" s="4">
        <f t="shared" si="4"/>
        <v>9.2883333333333322</v>
      </c>
    </row>
    <row r="148" spans="1:5" x14ac:dyDescent="0.55000000000000004">
      <c r="A148" s="3">
        <v>35.299999999999997</v>
      </c>
      <c r="B148" s="3">
        <v>2.9399000000000002</v>
      </c>
      <c r="C148" s="3">
        <v>557.29999999999995</v>
      </c>
      <c r="D148" s="4">
        <f t="shared" si="5"/>
        <v>1.0885585585585587E-2</v>
      </c>
      <c r="E148" s="4">
        <f t="shared" si="4"/>
        <v>9.2883333333333322</v>
      </c>
    </row>
    <row r="149" spans="1:5" x14ac:dyDescent="0.55000000000000004">
      <c r="A149" s="3">
        <v>35.4</v>
      </c>
      <c r="B149" s="3">
        <v>2.9481999999999999</v>
      </c>
      <c r="C149" s="3">
        <v>557.29999999999995</v>
      </c>
      <c r="D149" s="4">
        <f t="shared" si="5"/>
        <v>1.0960360360360362E-2</v>
      </c>
      <c r="E149" s="4">
        <f t="shared" si="4"/>
        <v>9.2883333333333322</v>
      </c>
    </row>
    <row r="150" spans="1:5" x14ac:dyDescent="0.55000000000000004">
      <c r="A150" s="3">
        <v>35.5</v>
      </c>
      <c r="B150" s="3">
        <v>2.9565000000000001</v>
      </c>
      <c r="C150" s="3">
        <v>556.48996999999997</v>
      </c>
      <c r="D150" s="4">
        <f t="shared" si="5"/>
        <v>1.1035135135135137E-2</v>
      </c>
      <c r="E150" s="4">
        <f t="shared" si="4"/>
        <v>9.274832833333333</v>
      </c>
    </row>
    <row r="151" spans="1:5" x14ac:dyDescent="0.55000000000000004">
      <c r="A151" s="3">
        <v>35.6</v>
      </c>
      <c r="B151" s="3">
        <v>2.9649000000000001</v>
      </c>
      <c r="C151" s="3">
        <v>555.69001000000003</v>
      </c>
      <c r="D151" s="4">
        <f t="shared" si="5"/>
        <v>1.1110810810810813E-2</v>
      </c>
      <c r="E151" s="4">
        <f t="shared" si="4"/>
        <v>9.2615001666666679</v>
      </c>
    </row>
    <row r="152" spans="1:5" x14ac:dyDescent="0.55000000000000004">
      <c r="A152" s="3">
        <v>35.700000000000003</v>
      </c>
      <c r="B152" s="3">
        <v>2.9731999999999998</v>
      </c>
      <c r="C152" s="3">
        <v>554.87998000000005</v>
      </c>
      <c r="D152" s="4">
        <f t="shared" si="5"/>
        <v>1.1185585585585585E-2</v>
      </c>
      <c r="E152" s="4">
        <f t="shared" si="4"/>
        <v>9.2479996666666668</v>
      </c>
    </row>
    <row r="153" spans="1:5" x14ac:dyDescent="0.55000000000000004">
      <c r="A153" s="3">
        <v>35.799999999999997</v>
      </c>
      <c r="B153" s="3">
        <v>2.9815</v>
      </c>
      <c r="C153" s="3">
        <v>553.26998000000003</v>
      </c>
      <c r="D153" s="4">
        <f t="shared" si="5"/>
        <v>1.126036036036036E-2</v>
      </c>
      <c r="E153" s="4">
        <f t="shared" si="4"/>
        <v>9.2211663333333345</v>
      </c>
    </row>
    <row r="154" spans="1:5" x14ac:dyDescent="0.55000000000000004">
      <c r="A154" s="3">
        <v>35.9</v>
      </c>
      <c r="B154" s="3">
        <v>2.9899</v>
      </c>
      <c r="C154" s="3">
        <v>550.04998999999998</v>
      </c>
      <c r="D154" s="4">
        <f t="shared" si="5"/>
        <v>1.1336036036036036E-2</v>
      </c>
      <c r="E154" s="4">
        <f t="shared" si="4"/>
        <v>9.1674998333333324</v>
      </c>
    </row>
    <row r="155" spans="1:5" x14ac:dyDescent="0.55000000000000004">
      <c r="A155" s="3">
        <v>36</v>
      </c>
      <c r="B155" s="3">
        <v>2.9982000000000002</v>
      </c>
      <c r="C155" s="3">
        <v>546.02003000000002</v>
      </c>
      <c r="D155" s="4">
        <f t="shared" si="5"/>
        <v>1.1410810810810815E-2</v>
      </c>
      <c r="E155" s="4">
        <f t="shared" si="4"/>
        <v>9.1003338333333339</v>
      </c>
    </row>
    <row r="156" spans="1:5" x14ac:dyDescent="0.55000000000000004">
      <c r="D156" s="4"/>
      <c r="E156" s="4"/>
    </row>
    <row r="157" spans="1:5" x14ac:dyDescent="0.55000000000000004">
      <c r="D157" s="4"/>
      <c r="E157" s="4"/>
    </row>
    <row r="158" spans="1:5" x14ac:dyDescent="0.55000000000000004">
      <c r="D158" s="4"/>
      <c r="E158" s="4"/>
    </row>
    <row r="159" spans="1:5" x14ac:dyDescent="0.55000000000000004">
      <c r="D159" s="4"/>
      <c r="E159" s="4"/>
    </row>
    <row r="160" spans="1:5" x14ac:dyDescent="0.55000000000000004">
      <c r="D160" s="4"/>
      <c r="E160" s="4"/>
    </row>
    <row r="161" spans="4:5" x14ac:dyDescent="0.55000000000000004">
      <c r="D161" s="4"/>
      <c r="E161" s="4"/>
    </row>
    <row r="162" spans="4:5" x14ac:dyDescent="0.55000000000000004">
      <c r="D162" s="4"/>
      <c r="E162" s="4"/>
    </row>
    <row r="163" spans="4:5" x14ac:dyDescent="0.55000000000000004">
      <c r="D163" s="4"/>
      <c r="E163" s="4"/>
    </row>
    <row r="164" spans="4:5" x14ac:dyDescent="0.55000000000000004">
      <c r="D164" s="4"/>
      <c r="E164" s="4"/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0_1</vt:lpstr>
      <vt:lpstr>0_2</vt:lpstr>
      <vt:lpstr>0_3</vt:lpstr>
      <vt:lpstr>0_4</vt:lpstr>
      <vt:lpstr>0_5</vt:lpstr>
      <vt:lpstr>0_6</vt:lpstr>
      <vt:lpstr>0_7</vt:lpstr>
      <vt:lpstr>0_8</vt:lpstr>
      <vt:lpstr>0_9</vt:lpstr>
      <vt:lpstr>0_10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Youssef</dc:creator>
  <cp:lastModifiedBy>Youssef</cp:lastModifiedBy>
  <dcterms:modified xsi:type="dcterms:W3CDTF">2023-02-17T20:46:00Z</dcterms:modified>
</cp:coreProperties>
</file>